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ilotage" sheetId="1" state="visible" r:id="rId1"/>
    <sheet xmlns:r="http://schemas.openxmlformats.org/officeDocument/2006/relationships" name="01_77_ecrans" sheetId="2" state="visible" r:id="rId2"/>
    <sheet xmlns:r="http://schemas.openxmlformats.org/officeDocument/2006/relationships" name="02_Tests_execution" sheetId="3" state="visible" r:id="rId3"/>
    <sheet xmlns:r="http://schemas.openxmlformats.org/officeDocument/2006/relationships" name="03_Anomalies" sheetId="4" state="visible" r:id="rId4"/>
    <sheet xmlns:r="http://schemas.openxmlformats.org/officeDocument/2006/relationships" name="04_Roles_permissions" sheetId="5" state="visible" r:id="rId5"/>
    <sheet xmlns:r="http://schemas.openxmlformats.org/officeDocument/2006/relationships" name="05_Design_system" sheetId="6" state="visible" r:id="rId6"/>
    <sheet xmlns:r="http://schemas.openxmlformats.org/officeDocument/2006/relationships" name="06_ADM09_extension" sheetId="7" state="visible" r:id="rId7"/>
    <sheet xmlns:r="http://schemas.openxmlformats.org/officeDocument/2006/relationships" name="07_Methode_sources" sheetId="8" state="visible" r:id="rId8"/>
  </sheets>
  <definedNames>
    <definedName name="_xlnm._FilterDatabase" localSheetId="1" hidden="1">'01_77_ecrans'!$A$5:$O$82</definedName>
    <definedName name="_xlnm.Print_Titles" localSheetId="1">'01_77_ecrans'!$1:$5</definedName>
    <definedName name="_xlnm._FilterDatabase" localSheetId="2" hidden="1">'02_Tests_execution'!$A$5:$N$171</definedName>
    <definedName name="_xlnm.Print_Titles" localSheetId="2">'02_Tests_execution'!$1:$5</definedName>
    <definedName name="_xlnm._FilterDatabase" localSheetId="3" hidden="1">'03_Anomalies'!$A$5:$O$29</definedName>
    <definedName name="_xlnm.Print_Titles" localSheetId="3">'03_Anomalies'!$1:$5</definedName>
    <definedName name="_xlnm.Print_Titles" localSheetId="4">'04_Roles_permissions'!$1:$5</definedName>
    <definedName name="_xlnm.Print_Titles" localSheetId="5">'05_Design_system'!$1:$5</definedName>
    <definedName name="_xlnm.Print_Titles" localSheetId="6">'06_ADM09_extension'!$1:$5</definedName>
    <definedName name="_xlnm.Print_Titles" localSheetId="7">'07_Methode_sources'!$1:$5</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Aptos Display"/>
      <b val="1"/>
      <color rgb="00FFFFFF"/>
      <sz val="21"/>
    </font>
    <font>
      <name val="Aptos"/>
      <i val="1"/>
      <color rgb="005C6C58"/>
      <sz val="10"/>
    </font>
    <font>
      <name val="Aptos"/>
      <b val="1"/>
      <color rgb="00FFFFFF"/>
      <sz val="10"/>
    </font>
    <font>
      <name val="Aptos"/>
      <b val="1"/>
      <color rgb="001E281B"/>
      <sz val="10"/>
    </font>
    <font>
      <name val="Aptos"/>
      <color rgb="001E281B"/>
      <sz val="10"/>
    </font>
    <font>
      <name val="Aptos"/>
      <color rgb="00245B98"/>
      <sz val="10"/>
    </font>
    <font>
      <name val="Aptos"/>
      <b val="1"/>
      <color rgb="001D490D"/>
      <sz val="10"/>
    </font>
    <font>
      <name val="Aptos"/>
      <b val="1"/>
      <color rgb="00C47D2B"/>
      <sz val="10"/>
    </font>
    <font>
      <name val="Aptos"/>
      <b val="1"/>
      <color rgb="00B42318"/>
      <sz val="10"/>
    </font>
    <font>
      <b val="1"/>
      <color rgb="00B42318"/>
    </font>
    <font>
      <b val="1"/>
      <color rgb="00C47D2B"/>
    </font>
    <font>
      <b val="1"/>
      <color rgb="001D490D"/>
    </font>
    <font>
      <name val="Aptos Display"/>
      <b val="1"/>
      <color rgb="00FFFFFF"/>
      <sz val="24"/>
    </font>
    <font>
      <i val="1"/>
      <color rgb="005C6C58"/>
      <sz val="11"/>
    </font>
    <font>
      <b val="1"/>
      <color rgb="001D490D"/>
      <sz val="13"/>
    </font>
    <font>
      <name val="Aptos"/>
      <b val="1"/>
      <color rgb="001E281B"/>
      <sz val="11"/>
    </font>
    <font>
      <name val="Aptos"/>
      <b val="1"/>
      <color rgb="001D490D"/>
      <sz val="15"/>
    </font>
    <font>
      <color rgb="005C6C58"/>
      <sz val="10"/>
    </font>
    <font>
      <b val="1"/>
      <color rgb="00FFFFFF"/>
    </font>
    <font>
      <b val="1"/>
      <color rgb="001E281B"/>
      <sz val="11"/>
    </font>
    <font>
      <i val="1"/>
      <color rgb="00245B98"/>
      <sz val="11"/>
    </font>
  </fonts>
  <fills count="10">
    <fill>
      <patternFill/>
    </fill>
    <fill>
      <patternFill patternType="gray125"/>
    </fill>
    <fill>
      <patternFill patternType="solid">
        <fgColor rgb="001D490D"/>
      </patternFill>
    </fill>
    <fill>
      <patternFill patternType="solid">
        <fgColor rgb="001F880B"/>
      </patternFill>
    </fill>
    <fill>
      <patternFill patternType="solid">
        <fgColor rgb="00FFFFFF"/>
      </patternFill>
    </fill>
    <fill>
      <patternFill patternType="solid">
        <fgColor rgb="00EDF4E7"/>
      </patternFill>
    </fill>
    <fill>
      <patternFill patternType="solid">
        <fgColor rgb="00EAF3FC"/>
      </patternFill>
    </fill>
    <fill>
      <patternFill patternType="solid">
        <fgColor rgb="00F7FAF5"/>
      </patternFill>
    </fill>
    <fill>
      <patternFill patternType="solid">
        <fgColor rgb="00FBF5EC"/>
      </patternFill>
    </fill>
    <fill>
      <patternFill patternType="solid">
        <fgColor rgb="00FDEEEE"/>
      </patternFill>
    </fill>
  </fills>
  <borders count="1">
    <border>
      <left/>
      <right/>
      <top/>
      <bottom/>
      <diagonal/>
    </border>
  </borders>
  <cellStyleXfs count="1">
    <xf numFmtId="0" fontId="0" fillId="0" borderId="0"/>
  </cellStyleXfs>
  <cellXfs count="35">
    <xf numFmtId="0" fontId="0" fillId="0" borderId="0" pivotButton="0" quotePrefix="0" xfId="0"/>
    <xf numFmtId="0" fontId="13" fillId="2" borderId="0" applyAlignment="1" pivotButton="0" quotePrefix="0" xfId="0">
      <alignment vertical="center"/>
    </xf>
    <xf numFmtId="0" fontId="0" fillId="2" borderId="0" pivotButton="0" quotePrefix="0" xfId="0"/>
    <xf numFmtId="0" fontId="14" fillId="0" borderId="0" pivotButton="0" quotePrefix="0" xfId="0"/>
    <xf numFmtId="0" fontId="15" fillId="0" borderId="0" pivotButton="0" quotePrefix="0" xfId="0"/>
    <xf numFmtId="0" fontId="16" fillId="7" borderId="0" pivotButton="0" quotePrefix="0" xfId="0"/>
    <xf numFmtId="0" fontId="0" fillId="7" borderId="0" pivotButton="0" quotePrefix="0" xfId="0"/>
    <xf numFmtId="0" fontId="17" fillId="7" borderId="0" pivotButton="0" quotePrefix="0" xfId="0"/>
    <xf numFmtId="0" fontId="18" fillId="7" borderId="0" pivotButton="0" quotePrefix="0" xfId="0"/>
    <xf numFmtId="0" fontId="16" fillId="4" borderId="0" pivotButton="0" quotePrefix="0" xfId="0"/>
    <xf numFmtId="0" fontId="0" fillId="4" borderId="0" pivotButton="0" quotePrefix="0" xfId="0"/>
    <xf numFmtId="0" fontId="17" fillId="4" borderId="0" pivotButton="0" quotePrefix="0" xfId="0"/>
    <xf numFmtId="0" fontId="18" fillId="4" borderId="0" pivotButton="0" quotePrefix="0" xfId="0"/>
    <xf numFmtId="164" fontId="17" fillId="4" borderId="0" pivotButton="0" quotePrefix="0" xfId="0"/>
    <xf numFmtId="0" fontId="19" fillId="3" borderId="0" pivotButton="0" quotePrefix="0" xfId="0"/>
    <xf numFmtId="0" fontId="0" fillId="7" borderId="0" applyAlignment="1" pivotButton="0" quotePrefix="0" xfId="0">
      <alignment vertical="center" wrapText="1"/>
    </xf>
    <xf numFmtId="0" fontId="0" fillId="4" borderId="0" applyAlignment="1" pivotButton="0" quotePrefix="0" xfId="0">
      <alignment vertical="center" wrapText="1"/>
    </xf>
    <xf numFmtId="0" fontId="20" fillId="8" borderId="0" applyAlignment="1" pivotButton="0" quotePrefix="0" xfId="0">
      <alignment vertical="center" wrapText="1"/>
    </xf>
    <xf numFmtId="0" fontId="21"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3" borderId="0" applyAlignment="1" pivotButton="0" quotePrefix="0" xfId="0">
      <alignment vertical="center" wrapText="1"/>
    </xf>
    <xf numFmtId="0" fontId="7" fillId="4" borderId="0" applyAlignment="1" pivotButton="0" quotePrefix="0" xfId="0">
      <alignment vertical="top" wrapText="1"/>
    </xf>
    <xf numFmtId="0" fontId="5" fillId="4" borderId="0" applyAlignment="1" pivotButton="0" quotePrefix="0" xfId="0">
      <alignment vertical="top" wrapText="1"/>
    </xf>
    <xf numFmtId="0" fontId="7" fillId="5" borderId="0" applyAlignment="1" pivotButton="0" quotePrefix="0" xfId="0">
      <alignment vertical="top" wrapText="1"/>
    </xf>
    <xf numFmtId="0" fontId="6" fillId="6" borderId="0" applyAlignment="1" pivotButton="0" quotePrefix="0" xfId="0">
      <alignment vertical="top" wrapText="1"/>
    </xf>
    <xf numFmtId="0" fontId="6" fillId="4" borderId="0" applyAlignment="1" pivotButton="0" quotePrefix="0" xfId="0">
      <alignment vertical="top" wrapText="1"/>
    </xf>
    <xf numFmtId="0" fontId="7" fillId="7" borderId="0" applyAlignment="1" pivotButton="0" quotePrefix="0" xfId="0">
      <alignment vertical="top" wrapText="1"/>
    </xf>
    <xf numFmtId="0" fontId="5" fillId="7" borderId="0" applyAlignment="1" pivotButton="0" quotePrefix="0" xfId="0">
      <alignment vertical="top" wrapText="1"/>
    </xf>
    <xf numFmtId="0" fontId="8" fillId="8" borderId="0" applyAlignment="1" pivotButton="0" quotePrefix="0" xfId="0">
      <alignment vertical="top" wrapText="1"/>
    </xf>
    <xf numFmtId="0" fontId="6" fillId="7" borderId="0" applyAlignment="1" pivotButton="0" quotePrefix="0" xfId="0">
      <alignment vertical="top" wrapText="1"/>
    </xf>
    <xf numFmtId="0" fontId="9" fillId="9" borderId="0" applyAlignment="1" pivotButton="0" quotePrefix="0" xfId="0">
      <alignment vertical="top" wrapText="1"/>
    </xf>
    <xf numFmtId="0" fontId="10" fillId="9" borderId="0" applyAlignment="1" pivotButton="0" quotePrefix="0" xfId="0">
      <alignment vertical="top" wrapText="1"/>
    </xf>
    <xf numFmtId="0" fontId="11" fillId="8" borderId="0" applyAlignment="1" pivotButton="0" quotePrefix="0" xfId="0">
      <alignment vertical="top" wrapText="1"/>
    </xf>
    <xf numFmtId="0" fontId="12" fillId="5" borderId="0" applyAlignment="1" pivotButton="0" quotePrefix="0" xfId="0">
      <alignment vertical="top" wrapText="1"/>
    </xf>
  </cellXfs>
  <cellStyles count="1">
    <cellStyle name="Normal" xfId="0" builtinId="0" hidden="0"/>
  </cellStyles>
  <dxfs count="4">
    <dxf>
      <fill>
        <patternFill patternType="solid">
          <fgColor rgb="00E6F5E3"/>
        </patternFill>
      </fill>
    </dxf>
    <dxf>
      <fill>
        <patternFill patternType="solid">
          <fgColor rgb="00FDEEEE"/>
        </patternFill>
      </fill>
    </dxf>
    <dxf>
      <fill>
        <patternFill patternType="solid">
          <fgColor rgb="00FFF1E4"/>
        </patternFill>
      </fill>
    </dxf>
    <dxf>
      <fill>
        <patternFill patternType="solid">
          <fgColor rgb="00EAF3F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Écrans par famille</a:t>
            </a:r>
          </a:p>
        </rich>
      </tx>
    </title>
    <plotArea>
      <barChart>
        <barDir val="bar"/>
        <grouping val="clustered"/>
        <ser>
          <idx val="0"/>
          <order val="0"/>
          <tx>
            <strRef>
              <f>'00_Pilotage'!C20</f>
            </strRef>
          </tx>
          <spPr>
            <a:ln xmlns:a="http://schemas.openxmlformats.org/drawingml/2006/main">
              <a:prstDash val="solid"/>
            </a:ln>
          </spPr>
          <cat>
            <numRef>
              <f>'00_Pilotage'!$B$21:$B$28</f>
            </numRef>
          </cat>
          <val>
            <numRef>
              <f>'00_Pilotage'!$C$21:$C$28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Écrans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Familles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Audit ECOPARK</author>
  </authors>
  <commentList>
    <comment ref="E6" authorId="0" shapeId="0">
      <text>
        <t>Observation réalisée par lecture du fichier HTML source. Le comportement en production n’a pas été vérifié.</t>
      </text>
    </comment>
    <comment ref="E7" authorId="0" shapeId="0">
      <text>
        <t>Observation réalisée par lecture du fichier HTML source. Le comportement en production n’a pas été vérifié.</t>
      </text>
    </comment>
    <comment ref="E8" authorId="0" shapeId="0">
      <text>
        <t>Observation réalisée par lecture du fichier HTML source. Le comportement en production n’a pas été vérifié.</t>
      </text>
    </comment>
    <comment ref="E9" authorId="0" shapeId="0">
      <text>
        <t>Observation réalisée par lecture du fichier HTML source. Le comportement en production n’a pas été vérifié.</t>
      </text>
    </comment>
    <comment ref="E10" authorId="0" shapeId="0">
      <text>
        <t>Observation réalisée par lecture du fichier HTML source. Le comportement en production n’a pas été vérifié.</t>
      </text>
    </comment>
    <comment ref="E11" authorId="0" shapeId="0">
      <text>
        <t>Observation réalisée par lecture du fichier HTML source. Le comportement en production n’a pas été vérifié.</t>
      </text>
    </comment>
    <comment ref="E12" authorId="0" shapeId="0">
      <text>
        <t>Observation réalisée par lecture du fichier HTML source. Le comportement en production n’a pas été vérifié.</t>
      </text>
    </comment>
    <comment ref="E13" authorId="0" shapeId="0">
      <text>
        <t>Observation réalisée par lecture du fichier HTML source. Le comportement en production n’a pas été vérifié.</t>
      </text>
    </comment>
    <comment ref="E14" authorId="0" shapeId="0">
      <text>
        <t>Observation réalisée par lecture du fichier HTML source. Le comportement en production n’a pas été vérifié.</t>
      </text>
    </comment>
    <comment ref="E15" authorId="0" shapeId="0">
      <text>
        <t>Observation réalisée par lecture du fichier HTML source. Le comportement en production n’a pas été vérifié.</t>
      </text>
    </comment>
    <comment ref="E16" authorId="0" shapeId="0">
      <text>
        <t>Observation réalisée par lecture du fichier HTML source. Le comportement en production n’a pas été vérifié.</t>
      </text>
    </comment>
    <comment ref="E17" authorId="0" shapeId="0">
      <text>
        <t>Observation réalisée par lecture du fichier HTML source. Le comportement en production n’a pas été vérifié.</t>
      </text>
    </comment>
    <comment ref="E18" authorId="0" shapeId="0">
      <text>
        <t>Observation réalisée par lecture du fichier HTML source. Le comportement en production n’a pas été vérifié.</t>
      </text>
    </comment>
    <comment ref="E19" authorId="0" shapeId="0">
      <text>
        <t>Observation réalisée par lecture du fichier HTML source. Le comportement en production n’a pas été vérifié.</t>
      </text>
    </comment>
    <comment ref="E20" authorId="0" shapeId="0">
      <text>
        <t>Observation réalisée par lecture du fichier HTML source. Le comportement en production n’a pas été vérifié.</t>
      </text>
    </comment>
    <comment ref="E21" authorId="0" shapeId="0">
      <text>
        <t>Observation réalisée par lecture du fichier HTML source. Le comportement en production n’a pas été vérifié.</t>
      </text>
    </comment>
    <comment ref="E22" authorId="0" shapeId="0">
      <text>
        <t>Observation réalisée par lecture du fichier HTML source. Le comportement en production n’a pas été vérifié.</t>
      </text>
    </comment>
    <comment ref="E23" authorId="0" shapeId="0">
      <text>
        <t>Observation réalisée par lecture du fichier HTML source. Le comportement en production n’a pas été vérifié.</t>
      </text>
    </comment>
    <comment ref="E24" authorId="0" shapeId="0">
      <text>
        <t>Observation réalisée par lecture du fichier HTML source. Le comportement en production n’a pas été vérifié.</t>
      </text>
    </comment>
    <comment ref="E25" authorId="0" shapeId="0">
      <text>
        <t>Observation réalisée par lecture du fichier HTML source. Le comportement en production n’a pas été vérifié.</t>
      </text>
    </comment>
    <comment ref="E26" authorId="0" shapeId="0">
      <text>
        <t>Observation réalisée par lecture du fichier HTML source. Le comportement en production n’a pas été vérifié.</t>
      </text>
    </comment>
    <comment ref="E27" authorId="0" shapeId="0">
      <text>
        <t>Observation réalisée par lecture du fichier HTML source. Le comportement en production n’a pas été vérifié.</t>
      </text>
    </comment>
    <comment ref="E28" authorId="0" shapeId="0">
      <text>
        <t>Observation réalisée par lecture du fichier HTML source. Le comportement en production n’a pas été vérifié.</t>
      </text>
    </comment>
    <comment ref="E29" authorId="0" shapeId="0">
      <text>
        <t>Observation réalisée par lecture du fichier HTML source. Le comportement en production n’a pas été vérifié.</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18</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J35"/>
  <sheetViews>
    <sheetView showGridLines="0" zoomScale="9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25" customWidth="1" min="3" max="3"/>
    <col width="22" customWidth="1" min="4" max="4"/>
    <col width="23" customWidth="1" min="5" max="5"/>
    <col width="21" customWidth="1" min="6" max="6"/>
    <col width="20" customWidth="1" min="7" max="7"/>
    <col width="21" customWidth="1" min="8" max="8"/>
    <col width="27" customWidth="1" min="9" max="9"/>
    <col width="26" customWidth="1" min="10" max="10"/>
  </cols>
  <sheetData>
    <row r="2" ht="26" customHeight="1">
      <c r="B2" s="1" t="inlineStr">
        <is>
          <t>ECOPARK CAMEROUN | CAHIER DE RECETTE</t>
        </is>
      </c>
    </row>
    <row r="3" ht="28" customHeight="1"/>
    <row r="5">
      <c r="B5" s="3" t="inlineStr">
        <is>
          <t>77 écrans contractuels + 1 extension ADM-09 | 166 cas de test | Source : HTML fourni | État : NON EXÉCUTÉ</t>
        </is>
      </c>
    </row>
    <row r="7">
      <c r="B7" s="4" t="inlineStr">
        <is>
          <t>PÉRIMÈTRE CONTRACTUEL</t>
        </is>
      </c>
    </row>
    <row r="9" ht="32" customHeight="1">
      <c r="B9" s="5" t="inlineStr">
        <is>
          <t>Écrans contractuels</t>
        </is>
      </c>
      <c r="C9" s="6" t="n"/>
      <c r="D9" s="7">
        <f>COUNTA('01_77_ecrans'!A6:A82)</f>
        <v/>
      </c>
      <c r="E9" s="6" t="n"/>
      <c r="F9" s="8" t="inlineStr">
        <is>
          <t>77 attendu</t>
        </is>
      </c>
      <c r="G9" s="6" t="n"/>
      <c r="H9" s="6" t="n"/>
      <c r="I9" s="6" t="n"/>
    </row>
    <row r="10" ht="32" customHeight="1">
      <c r="B10" s="9" t="inlineStr">
        <is>
          <t>Cas de test</t>
        </is>
      </c>
      <c r="C10" s="10" t="n"/>
      <c r="D10" s="11">
        <f>COUNTA('02_Tests_execution'!A6:A171)</f>
        <v/>
      </c>
      <c r="E10" s="10" t="n"/>
      <c r="F10" s="12" t="inlineStr">
        <is>
          <t>154 spécifiques + 12 transverses</t>
        </is>
      </c>
      <c r="G10" s="10" t="n"/>
      <c r="H10" s="10" t="n"/>
      <c r="I10" s="10" t="n"/>
    </row>
    <row r="11" ht="32" customHeight="1">
      <c r="B11" s="5" t="inlineStr">
        <is>
          <t>Anomalies / risques</t>
        </is>
      </c>
      <c r="C11" s="6" t="n"/>
      <c r="D11" s="7">
        <f>COUNTA('03_Anomalies'!A6:A29)</f>
        <v/>
      </c>
      <c r="E11" s="6" t="n"/>
      <c r="F11" s="8" t="inlineStr">
        <is>
          <t>Statique, pas test exécuté</t>
        </is>
      </c>
      <c r="G11" s="6" t="n"/>
      <c r="H11" s="6" t="n"/>
      <c r="I11" s="6" t="n"/>
    </row>
    <row r="12" ht="32" customHeight="1">
      <c r="B12" s="9" t="inlineStr">
        <is>
          <t>P0 ouverts</t>
        </is>
      </c>
      <c r="C12" s="10" t="n"/>
      <c r="D12" s="11">
        <f>COUNTIFS('03_Anomalies'!B6:B29,"P0",'03_Anomalies'!L6:L29,"&lt;&gt;Clos")</f>
        <v/>
      </c>
      <c r="E12" s="10" t="n"/>
      <c r="F12" s="12" t="inlineStr">
        <is>
          <t>Objectif GO : 0</t>
        </is>
      </c>
      <c r="G12" s="10" t="n"/>
      <c r="H12" s="10" t="n"/>
      <c r="I12" s="10" t="n"/>
    </row>
    <row r="13" ht="32" customHeight="1">
      <c r="B13" s="5" t="inlineStr">
        <is>
          <t>Tests réussis</t>
        </is>
      </c>
      <c r="C13" s="6" t="n"/>
      <c r="D13" s="7">
        <f>COUNTIF('02_Tests_execution'!I6:I171,"Réussi")</f>
        <v/>
      </c>
      <c r="E13" s="6" t="n"/>
      <c r="F13" s="8" t="inlineStr">
        <is>
          <t>Ne pas supposer réussite</t>
        </is>
      </c>
      <c r="G13" s="6" t="n"/>
      <c r="H13" s="6" t="n"/>
      <c r="I13" s="6" t="n"/>
    </row>
    <row r="14" ht="32" customHeight="1">
      <c r="B14" s="9" t="inlineStr">
        <is>
          <t>Tests échoués</t>
        </is>
      </c>
      <c r="C14" s="10" t="n"/>
      <c r="D14" s="11">
        <f>COUNTIF('02_Tests_execution'!I6:I171,"Échoué")</f>
        <v/>
      </c>
      <c r="E14" s="10" t="n"/>
      <c r="F14" s="12" t="inlineStr">
        <is>
          <t>Doit déclencher anomalie</t>
        </is>
      </c>
      <c r="G14" s="10" t="n"/>
      <c r="H14" s="10" t="n"/>
      <c r="I14" s="10" t="n"/>
    </row>
    <row r="15" ht="32" customHeight="1">
      <c r="B15" s="5" t="inlineStr">
        <is>
          <t>Tests non exécutés</t>
        </is>
      </c>
      <c r="C15" s="6" t="n"/>
      <c r="D15" s="7">
        <f>COUNTIF('02_Tests_execution'!I6:I171,"Non exécuté")</f>
        <v/>
      </c>
      <c r="E15" s="6" t="n"/>
      <c r="F15" s="8" t="inlineStr">
        <is>
          <t>Références à documenter</t>
        </is>
      </c>
      <c r="G15" s="6" t="n"/>
      <c r="H15" s="6" t="n"/>
      <c r="I15" s="6" t="n"/>
    </row>
    <row r="16" ht="32" customHeight="1">
      <c r="B16" s="9" t="inlineStr">
        <is>
          <t>Taux exécution</t>
        </is>
      </c>
      <c r="C16" s="10" t="n"/>
      <c r="D16" s="13">
        <f>IFERROR((COUNTIF('02_Tests_execution'!I6:I171,"Réussi")+COUNTIF('02_Tests_execution'!I6:I171,"Échoué")+COUNTIF('02_Tests_execution'!I6:I171,"Bloqué"))/COUNTA('02_Tests_execution'!A6:A171),0)</f>
        <v/>
      </c>
      <c r="E16" s="10" t="n"/>
      <c r="F16" s="12" t="inlineStr">
        <is>
          <t>Ratio hors « Sans objet »</t>
        </is>
      </c>
      <c r="G16" s="10" t="n"/>
      <c r="H16" s="10" t="n"/>
      <c r="I16" s="10" t="n"/>
    </row>
    <row r="19">
      <c r="B19" s="4" t="inlineStr">
        <is>
          <t>RÉPARTITION DES ÉCRANS</t>
        </is>
      </c>
    </row>
    <row r="20">
      <c r="B20" s="14" t="inlineStr">
        <is>
          <t>Famille</t>
        </is>
      </c>
      <c r="C20" s="14" t="inlineStr">
        <is>
          <t>Écrans</t>
        </is>
      </c>
      <c r="D20" s="14" t="inlineStr">
        <is>
          <t>P0</t>
        </is>
      </c>
      <c r="E20" s="14" t="inlineStr">
        <is>
          <t>Cas (2/écran)</t>
        </is>
      </c>
      <c r="F20" s="14" t="inlineStr">
        <is>
          <t>Mission principale</t>
        </is>
      </c>
    </row>
    <row r="21" ht="29" customHeight="1">
      <c r="B21" s="15" t="inlineStr">
        <is>
          <t>Design System</t>
        </is>
      </c>
      <c r="C21" s="15">
        <f>COUNTIF('01_77_ecrans'!A6:A82,"DS-*")</f>
        <v/>
      </c>
      <c r="D21" s="15">
        <f>COUNTIFS('01_77_ecrans'!A6:A82,"DS-*",'01_77_ecrans'!J6:J82,"P0")</f>
        <v/>
      </c>
      <c r="E21" s="15">
        <f>C21*2</f>
        <v/>
      </c>
      <c r="F21" s="15" t="inlineStr">
        <is>
          <t>Identité et composants</t>
        </is>
      </c>
    </row>
    <row r="22" ht="29" customHeight="1">
      <c r="B22" s="16" t="inlineStr">
        <is>
          <t>Site public</t>
        </is>
      </c>
      <c r="C22" s="16">
        <f>COUNTIF('01_77_ecrans'!A6:A82,"PUB-*")</f>
        <v/>
      </c>
      <c r="D22" s="16">
        <f>COUNTIFS('01_77_ecrans'!A6:A82,"PUB-*",'01_77_ecrans'!J6:J82,"P0")</f>
        <v/>
      </c>
      <c r="E22" s="16">
        <f>C22*2</f>
        <v/>
      </c>
      <c r="F22" s="16" t="inlineStr">
        <is>
          <t>Découvrir et convertir</t>
        </is>
      </c>
    </row>
    <row r="23" ht="29" customHeight="1">
      <c r="B23" s="15" t="inlineStr">
        <is>
          <t>Réservation</t>
        </is>
      </c>
      <c r="C23" s="15">
        <f>COUNTIF('01_77_ecrans'!A6:A82,"RES-*")</f>
        <v/>
      </c>
      <c r="D23" s="15">
        <f>COUNTIFS('01_77_ecrans'!A6:A82,"RES-*",'01_77_ecrans'!J6:J82,"P0")</f>
        <v/>
      </c>
      <c r="E23" s="15">
        <f>C23*2</f>
        <v/>
      </c>
      <c r="F23" s="15" t="inlineStr">
        <is>
          <t>Vendre sans risque</t>
        </is>
      </c>
    </row>
    <row r="24" ht="29" customHeight="1">
      <c r="B24" s="16" t="inlineStr">
        <is>
          <t>Espace client</t>
        </is>
      </c>
      <c r="C24" s="16">
        <f>COUNTIF('01_77_ecrans'!A6:A82,"ACC-*")</f>
        <v/>
      </c>
      <c r="D24" s="16">
        <f>COUNTIFS('01_77_ecrans'!A6:A82,"ACC-*",'01_77_ecrans'!J6:J82,"P0")</f>
        <v/>
      </c>
      <c r="E24" s="16">
        <f>C24*2</f>
        <v/>
      </c>
      <c r="F24" s="16" t="inlineStr">
        <is>
          <t>Servir le visiteur</t>
        </is>
      </c>
    </row>
    <row r="25" ht="29" customHeight="1">
      <c r="B25" s="15" t="inlineStr">
        <is>
          <t>Agent / caisse</t>
        </is>
      </c>
      <c r="C25" s="15">
        <f>COUNTIF('01_77_ecrans'!A6:A82,"AGT-*")</f>
        <v/>
      </c>
      <c r="D25" s="15">
        <f>COUNTIFS('01_77_ecrans'!A6:A82,"AGT-*",'01_77_ecrans'!J6:J82,"P0")</f>
        <v/>
      </c>
      <c r="E25" s="15">
        <f>C25*2</f>
        <v/>
      </c>
      <c r="F25" s="15" t="inlineStr">
        <is>
          <t>Encaisser et contrôler</t>
        </is>
      </c>
    </row>
    <row r="26" ht="29" customHeight="1">
      <c r="B26" s="16" t="inlineStr">
        <is>
          <t>Exploitation</t>
        </is>
      </c>
      <c r="C26" s="16">
        <f>COUNTIF('01_77_ecrans'!A6:A82,"EXP-*")</f>
        <v/>
      </c>
      <c r="D26" s="16">
        <f>COUNTIFS('01_77_ecrans'!A6:A82,"EXP-*",'01_77_ecrans'!J6:J82,"P0")</f>
        <v/>
      </c>
      <c r="E26" s="16">
        <f>C26*2</f>
        <v/>
      </c>
      <c r="F26" s="16" t="inlineStr">
        <is>
          <t>Piloter les capacités</t>
        </is>
      </c>
    </row>
    <row r="27" ht="29" customHeight="1">
      <c r="B27" s="15" t="inlineStr">
        <is>
          <t>Direction</t>
        </is>
      </c>
      <c r="C27" s="15">
        <f>COUNTIF('01_77_ecrans'!A6:A82,"DIR-*")</f>
        <v/>
      </c>
      <c r="D27" s="15">
        <f>COUNTIFS('01_77_ecrans'!A6:A82,"DIR-*",'01_77_ecrans'!J6:J82,"P0")</f>
        <v/>
      </c>
      <c r="E27" s="15">
        <f>C27*2</f>
        <v/>
      </c>
      <c r="F27" s="15" t="inlineStr">
        <is>
          <t>Piloter les recettes</t>
        </is>
      </c>
    </row>
    <row r="28" ht="29" customHeight="1">
      <c r="B28" s="16" t="inlineStr">
        <is>
          <t>Administration</t>
        </is>
      </c>
      <c r="C28" s="16">
        <f>COUNTIF('01_77_ecrans'!A6:A82,"ADM-*")</f>
        <v/>
      </c>
      <c r="D28" s="16">
        <f>COUNTIFS('01_77_ecrans'!A6:A82,"ADM-*",'01_77_ecrans'!J6:J82,"P0")</f>
        <v/>
      </c>
      <c r="E28" s="16">
        <f>C28*2</f>
        <v/>
      </c>
      <c r="F28" s="16" t="inlineStr">
        <is>
          <t>Administrer et sécuriser</t>
        </is>
      </c>
    </row>
    <row r="31">
      <c r="B31" s="4" t="inlineStr">
        <is>
          <t>DÉCISION DE MISE EN SERVICE</t>
        </is>
      </c>
    </row>
    <row r="32" ht="26" customHeight="1">
      <c r="B32" s="17" t="inlineStr">
        <is>
          <t>NO-GO par défaut tant que les paiements, QR, permissions, surbooking, synchronisation offline et remboursements ne sont pas validés en préproduction. Les scores du tableau s’actualisent après saisie des résultats par les testeurs.</t>
        </is>
      </c>
    </row>
    <row r="33" ht="27" customHeight="1"/>
    <row r="35">
      <c r="B35" s="18" t="inlineStr">
        <is>
          <t>Saisir les statuts en bleu dans 01 / 02 / 03 ; joindre preuves et référencer A-XXX dans les cas échoués.</t>
        </is>
      </c>
    </row>
  </sheetData>
  <mergeCells count="4">
    <mergeCell ref="B2:J3"/>
    <mergeCell ref="B32:J33"/>
    <mergeCell ref="B35:J35"/>
    <mergeCell ref="B5:J5"/>
  </mergeCells>
  <printOptions horizontalCentered="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82"/>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9" customWidth="1" min="2" max="2"/>
    <col width="42" customWidth="1" min="3" max="3"/>
    <col width="48" customWidth="1" min="4" max="4"/>
    <col width="56" customWidth="1" min="5" max="5"/>
    <col width="36" customWidth="1" min="6" max="6"/>
    <col width="60" customWidth="1" min="7" max="7"/>
    <col width="65" customWidth="1" min="8" max="8"/>
    <col width="63" customWidth="1" min="9" max="9"/>
    <col width="13" customWidth="1" min="10" max="10"/>
    <col width="22" customWidth="1" min="11" max="11"/>
    <col width="19" customWidth="1" min="12" max="12"/>
    <col width="23" customWidth="1" min="13" max="13"/>
    <col width="23" customWidth="1" min="14" max="14"/>
    <col width="40" customWidth="1" min="15" max="15"/>
  </cols>
  <sheetData>
    <row r="1" ht="22" customHeight="1">
      <c r="A1" s="19" t="inlineStr">
        <is>
          <t>RECETTE DES 77 ÉCRANS | ECOPARK</t>
        </is>
      </c>
    </row>
    <row r="2" ht="21" customHeight="1"/>
    <row r="3" ht="26" customHeight="1">
      <c r="A3" s="20" t="inlineStr">
        <is>
          <t>Registre contractuel — observations statiques, correctifs, scénario de validation et critères mesurables. Les statuts sont initialement NON EXÉCUTÉ.</t>
        </is>
      </c>
    </row>
    <row r="5" ht="34" customHeight="1">
      <c r="A5" s="21" t="inlineStr">
        <is>
          <t>ID écran</t>
        </is>
      </c>
      <c r="B5" s="21" t="inlineStr">
        <is>
          <t>Famille</t>
        </is>
      </c>
      <c r="C5" s="21" t="inlineStr">
        <is>
          <t>Intitulé exact du prototype</t>
        </is>
      </c>
      <c r="D5" s="21" t="inlineStr">
        <is>
          <t>Composants attendus</t>
        </is>
      </c>
      <c r="E5" s="21" t="inlineStr">
        <is>
          <t>Constat du HTML (sans exécution)</t>
        </is>
      </c>
      <c r="F5" s="21" t="inlineStr">
        <is>
          <t>Écart / risque à examiner</t>
        </is>
      </c>
      <c r="G5" s="21" t="inlineStr">
        <is>
          <t>Correction UX/UI / métier</t>
        </is>
      </c>
      <c r="H5" s="21" t="inlineStr">
        <is>
          <t>Scénario de recette prioritaire</t>
        </is>
      </c>
      <c r="I5" s="21" t="inlineStr">
        <is>
          <t>Critère d’acceptation vérifiable</t>
        </is>
      </c>
      <c r="J5" s="21" t="inlineStr">
        <is>
          <t>Priorité</t>
        </is>
      </c>
      <c r="K5" s="21" t="inlineStr">
        <is>
          <t>Type de constat</t>
        </is>
      </c>
      <c r="L5" s="21" t="inlineStr">
        <is>
          <t>Statut test</t>
        </is>
      </c>
      <c r="M5" s="21" t="inlineStr">
        <is>
          <t>Responsable</t>
        </is>
      </c>
      <c r="N5" s="21" t="inlineStr">
        <is>
          <t>Réf. code HTML</t>
        </is>
      </c>
      <c r="O5" s="21" t="inlineStr">
        <is>
          <t>Remarques de recette</t>
        </is>
      </c>
    </row>
    <row r="6" ht="94" customHeight="1">
      <c r="A6" s="22" t="inlineStr">
        <is>
          <t>DS-01</t>
        </is>
      </c>
      <c r="B6" s="23" t="inlineStr">
        <is>
          <t>Design System</t>
        </is>
      </c>
      <c r="C6" s="23" t="inlineStr">
        <is>
          <t>Couverture, principes graphiques et règles d'usage du logo</t>
        </is>
      </c>
      <c r="D6" s="23" t="inlineStr">
        <is>
          <t>Logo rond, zones de protection, fonds autorisés, usages interdits</t>
        </is>
      </c>
      <c r="E6" s="23" t="inlineStr">
        <is>
          <t>Logo affiché sur disque blanc dans l’en-tête; écran DS-01 annoncé dans l’inventaire. Pas de sec-DS-01 autonome : contenu regroupé ou écran seulement répertorié.</t>
        </is>
      </c>
      <c r="F6" s="23" t="inlineStr">
        <is>
          <t>Anomalies associées : A-012</t>
        </is>
      </c>
      <c r="G6" s="23" t="inlineStr">
        <is>
          <t>Formaliser dimensions, taille minimale, contraste, favicon, variantes et exemples interdits.</t>
        </is>
      </c>
      <c r="H6" s="23" t="inlineStr">
        <is>
          <t>Comparer les variantes sur fonds clair, sombre, photographie et favicon 32 px.</t>
        </is>
      </c>
      <c r="I6" s="23" t="inlineStr">
        <is>
          <t>Logo reconnaissable à 32 px; pas de déformation ni perte de détail; règles documentées.</t>
        </is>
      </c>
      <c r="J6" s="24" t="inlineStr">
        <is>
          <t>P2</t>
        </is>
      </c>
      <c r="K6" s="23" t="inlineStr">
        <is>
          <t>Validé V4 (Canopée immersive)</t>
        </is>
      </c>
      <c r="L6" s="25" t="inlineStr">
        <is>
          <t>Non exécuté</t>
        </is>
      </c>
      <c r="M6" s="23" t="inlineStr">
        <is>
          <t>UX/UI &amp; DA</t>
        </is>
      </c>
      <c r="N6" s="23" t="inlineStr">
        <is>
          <t>L.7382 / 5686</t>
        </is>
      </c>
      <c r="O6" s="26" t="inlineStr"/>
    </row>
    <row r="7" ht="94" customHeight="1">
      <c r="A7" s="27" t="inlineStr">
        <is>
          <t>DS-02</t>
        </is>
      </c>
      <c r="B7" s="28" t="inlineStr">
        <is>
          <t>Design System</t>
        </is>
      </c>
      <c r="C7" s="28" t="inlineStr">
        <is>
          <t>Couleurs, contrastes, typographies et échelle de texte</t>
        </is>
      </c>
      <c r="D7" s="28" t="inlineStr">
        <is>
          <t>Tokens de couleur, contrastes, hiérarchie, échelle typo</t>
        </is>
      </c>
      <c r="E7" s="28" t="inlineStr">
        <is>
          <t>Couleurs canopée/ocre et Barlow Semi Condensed/Source Sans 3 définies en variables CSS. Pas de sec-DS-02 autonome : contenu regroupé ou écran seulement répertorié.</t>
        </is>
      </c>
      <c r="F7" s="28" t="inlineStr">
        <is>
          <t>Validation statique uniquement : pas de test navigateur/backend.</t>
        </is>
      </c>
      <c r="G7" s="28" t="inlineStr">
        <is>
          <t>Auditer états et contrastes sur toutes surfaces et composants; corriger textes mobiles inférieurs à 14 px.</t>
        </is>
      </c>
      <c r="H7" s="28" t="inlineStr">
        <is>
          <t>Mesurer le contraste de textes, boutons, erreurs, prix et liens dans chaque état.</t>
        </is>
      </c>
      <c r="I7" s="28" t="inlineStr">
        <is>
          <t>WCAG 2.2 AA : 4,5:1 texte normal, 3:1 grand texte et composants; exceptions documentées.</t>
        </is>
      </c>
      <c r="J7" s="29" t="inlineStr">
        <is>
          <t>P1</t>
        </is>
      </c>
      <c r="K7" s="28" t="inlineStr">
        <is>
          <t>Validé V4 (Canopée immersive)</t>
        </is>
      </c>
      <c r="L7" s="25" t="inlineStr">
        <is>
          <t>Non exécuté</t>
        </is>
      </c>
      <c r="M7" s="28" t="inlineStr">
        <is>
          <t>UX/UI &amp; DA</t>
        </is>
      </c>
      <c r="N7" s="28" t="inlineStr">
        <is>
          <t>L.7383 / 5686</t>
        </is>
      </c>
      <c r="O7" s="30" t="inlineStr"/>
    </row>
    <row r="8" ht="94" customHeight="1">
      <c r="A8" s="22" t="inlineStr">
        <is>
          <t>DS-03</t>
        </is>
      </c>
      <c r="B8" s="23" t="inlineStr">
        <is>
          <t>Design System</t>
        </is>
      </c>
      <c r="C8" s="23" t="inlineStr">
        <is>
          <t>Grille, espacements, rayons, ombres et motifs végétaux</t>
        </is>
      </c>
      <c r="D8" s="23" t="inlineStr">
        <is>
          <t>Grille 12 colonnes, espacements, arrondis, ombres, motif radial</t>
        </is>
      </c>
      <c r="E8" s="23" t="inlineStr">
        <is>
          <t>La grille 12 colonnes et plusieurs jeux de rayons/ombres existent; règles de finition surchargées. Pas de sec-DS-03 autonome : contenu regroupé ou écran seulement répertorié.</t>
        </is>
      </c>
      <c r="F8" s="23" t="inlineStr">
        <is>
          <t>Anomalies associées : A-022</t>
        </is>
      </c>
      <c r="G8" s="23" t="inlineStr">
        <is>
          <t>Consolider les tokens, supprimer valeurs divergentes, définir espacements mobile/desktop.</t>
        </is>
      </c>
      <c r="H8" s="23" t="inlineStr">
        <is>
          <t>Inspecter à 320, 375, 412, 768, 1024, 1440 px et zoom 200 %.</t>
        </is>
      </c>
      <c r="I8" s="23" t="inlineStr">
        <is>
          <t>Pas de débordement horizontal non voulu; écarts cohérents; structure stable au zoom 200 %.</t>
        </is>
      </c>
      <c r="J8" s="29" t="inlineStr">
        <is>
          <t>P1</t>
        </is>
      </c>
      <c r="K8" s="23" t="inlineStr">
        <is>
          <t>Validé V4 (Canopée immersive)</t>
        </is>
      </c>
      <c r="L8" s="25" t="inlineStr">
        <is>
          <t>Non exécuté</t>
        </is>
      </c>
      <c r="M8" s="23" t="inlineStr">
        <is>
          <t>UX/UI &amp; DA</t>
        </is>
      </c>
      <c r="N8" s="23" t="inlineStr">
        <is>
          <t>L.7384 / 5686</t>
        </is>
      </c>
      <c r="O8" s="26" t="inlineStr"/>
    </row>
    <row r="9" ht="94" customHeight="1">
      <c r="A9" s="27" t="inlineStr">
        <is>
          <t>DS-04</t>
        </is>
      </c>
      <c r="B9" s="28" t="inlineStr">
        <is>
          <t>Design System</t>
        </is>
      </c>
      <c r="C9" s="28" t="inlineStr">
        <is>
          <t>Boutons, liens, badges, étiquettes et icônes</t>
        </is>
      </c>
      <c r="D9" s="28" t="inlineStr">
        <is>
          <t>Boutons primaires/secondaires, liens, badges, SVG, états</t>
        </is>
      </c>
      <c r="E9" s="28" t="inlineStr">
        <is>
          <t>Boutons en pilule et icônes SVG monochromes; un accent ocre distingue tarifs et groupes. Pas de sec-DS-04 autonome : contenu regroupé ou écran seulement répertorié.</t>
        </is>
      </c>
      <c r="F9" s="28" t="inlineStr">
        <is>
          <t>Validation statique uniquement : pas de test navigateur/backend.</t>
        </is>
      </c>
      <c r="G9" s="28" t="inlineStr">
        <is>
          <t>Normaliser états survol, focus, désactivé, en cours, succès et erreur.</t>
        </is>
      </c>
      <c r="H9" s="28" t="inlineStr">
        <is>
          <t>Parcourir au clavier bouton, lien et badge actionnable; vérifier focus et libellés.</t>
        </is>
      </c>
      <c r="I9" s="28" t="inlineStr">
        <is>
          <t>Tous les contrôles atteignables au clavier; focus visible; aucune icône seule ambiguë.</t>
        </is>
      </c>
      <c r="J9" s="29" t="inlineStr">
        <is>
          <t>P1</t>
        </is>
      </c>
      <c r="K9" s="28" t="inlineStr">
        <is>
          <t>Validé V4 (Canopée immersive)</t>
        </is>
      </c>
      <c r="L9" s="25" t="inlineStr">
        <is>
          <t>Non exécuté</t>
        </is>
      </c>
      <c r="M9" s="28" t="inlineStr">
        <is>
          <t>UX/UI &amp; DA</t>
        </is>
      </c>
      <c r="N9" s="28" t="inlineStr">
        <is>
          <t>L.7385 / 5686</t>
        </is>
      </c>
      <c r="O9" s="30" t="inlineStr"/>
    </row>
    <row r="10" ht="94" customHeight="1">
      <c r="A10" s="22" t="inlineStr">
        <is>
          <t>DS-05</t>
        </is>
      </c>
      <c r="B10" s="23" t="inlineStr">
        <is>
          <t>Design System</t>
        </is>
      </c>
      <c r="C10" s="23" t="inlineStr">
        <is>
          <t>Champs de formulaire, sélecteurs, calendrier, compteurs et validations</t>
        </is>
      </c>
      <c r="D10" s="23" t="inlineStr">
        <is>
          <t>Formulaires, labels, erreurs, calendrier, compteurs et messages</t>
        </is>
      </c>
      <c r="E10" s="23" t="inlineStr">
        <is>
          <t>Styles de champs et compteurs présents; certaines modales réduisent les champs à 36 px. Pas de sec-DS-05 autonome : contenu regroupé ou écran seulement répertorié.</t>
        </is>
      </c>
      <c r="F10" s="23" t="inlineStr">
        <is>
          <t>Anomalies associées : A-013, A-024</t>
        </is>
      </c>
      <c r="G10" s="23" t="inlineStr">
        <is>
          <t>Maintenir cibles tactiles suffisamment grandes et messages d’erreur associés aux champs.</t>
        </is>
      </c>
      <c r="H10" s="23" t="inlineStr">
        <is>
          <t>Soumettre champs vides, formats erronés, date passée, +237 invalide et plusieurs erreurs.</t>
        </is>
      </c>
      <c r="I10" s="23" t="inlineStr">
        <is>
          <t>Champs requis signalés; erreurs compréhensibles et annoncées; aucune saisie perdue.</t>
        </is>
      </c>
      <c r="J10" s="29" t="inlineStr">
        <is>
          <t>P1</t>
        </is>
      </c>
      <c r="K10" s="23" t="inlineStr">
        <is>
          <t>Validé V4 (Canopée immersive)</t>
        </is>
      </c>
      <c r="L10" s="25" t="inlineStr">
        <is>
          <t>Non exécuté</t>
        </is>
      </c>
      <c r="M10" s="23" t="inlineStr">
        <is>
          <t>UX/UI &amp; DA</t>
        </is>
      </c>
      <c r="N10" s="23" t="inlineStr">
        <is>
          <t>L.7386 / 5686</t>
        </is>
      </c>
      <c r="O10" s="26" t="inlineStr"/>
    </row>
    <row r="11" ht="94" customHeight="1">
      <c r="A11" s="27" t="inlineStr">
        <is>
          <t>DS-06</t>
        </is>
      </c>
      <c r="B11" s="28" t="inlineStr">
        <is>
          <t>Design System</t>
        </is>
      </c>
      <c r="C11" s="28" t="inlineStr">
        <is>
          <t>Cartes d'offre, cartes d'hébergement, tableaux de tarifs, accordéons et modales</t>
        </is>
      </c>
      <c r="D11" s="28" t="inlineStr">
        <is>
          <t>Cartes offres/loges, tableaux tarifaires, accordéons, modales</t>
        </is>
      </c>
      <c r="E11" s="28" t="inlineStr">
        <is>
          <t>Cartes Bento, lightbox et modales prévues; superpositions de styles successifs. Pas de sec-DS-06 autonome : contenu regroupé ou écran seulement répertorié.</t>
        </is>
      </c>
      <c r="F11" s="28" t="inlineStr">
        <is>
          <t>Validation statique uniquement : pas de test navigateur/backend.</t>
        </is>
      </c>
      <c r="G11" s="28" t="inlineStr">
        <is>
          <t>Définir une bibliothèque unique et tester longueurs de titre et variantes de contenu.</t>
        </is>
      </c>
      <c r="H11" s="28" t="inlineStr">
        <is>
          <t>Ouvrir/fermer chaque modal via souris/clavier; tester tableaux sur mobile.</t>
        </is>
      </c>
      <c r="I11" s="28" t="inlineStr">
        <is>
          <t>Focus capturé/restauré en modal; fermeture Échap; tableau lisible sans action impossible.</t>
        </is>
      </c>
      <c r="J11" s="29" t="inlineStr">
        <is>
          <t>P1</t>
        </is>
      </c>
      <c r="K11" s="28" t="inlineStr">
        <is>
          <t>Validé V4 (Canopée immersive)</t>
        </is>
      </c>
      <c r="L11" s="25" t="inlineStr">
        <is>
          <t>Non exécuté</t>
        </is>
      </c>
      <c r="M11" s="28" t="inlineStr">
        <is>
          <t>UX/UI &amp; DA</t>
        </is>
      </c>
      <c r="N11" s="28" t="inlineStr">
        <is>
          <t>L.7387 / 5686</t>
        </is>
      </c>
      <c r="O11" s="30" t="inlineStr"/>
    </row>
    <row r="12" ht="94" customHeight="1">
      <c r="A12" s="22" t="inlineStr">
        <is>
          <t>DS-07</t>
        </is>
      </c>
      <c r="B12" s="23" t="inlineStr">
        <is>
          <t>Design System</t>
        </is>
      </c>
      <c r="C12" s="23" t="inlineStr">
        <is>
          <t>En-tête, navigation principale, navigation mobile, fil d'Ariane et pied de page</t>
        </is>
      </c>
      <c r="D12" s="23" t="inlineStr">
        <is>
          <t>Header, navigation, pied, fil d’Ariane, navigation mobile</t>
        </is>
      </c>
      <c r="E12" s="23" t="inlineStr">
        <is>
          <t>Navigation mobile horizontale défilante et header compact; éléments masqués par CSS. Pas de sec-DS-07 autonome : contenu regroupé ou écran seulement répertorié.</t>
        </is>
      </c>
      <c r="F12" s="23" t="inlineStr">
        <is>
          <t>Anomalies associées : A-013</t>
        </is>
      </c>
      <c r="G12" s="23" t="inlineStr">
        <is>
          <t>Créer une navigation mobile explicite avec hiérarchie et CTA durable.</t>
        </is>
      </c>
      <c r="H12" s="23" t="inlineStr">
        <is>
          <t>Tester navigation multi-parcours au clavier et sur smartphone 320 px.</t>
        </is>
      </c>
      <c r="I12" s="23" t="inlineStr">
        <is>
          <t>L’utilisateur retrouve l’accueil, les tarifs et Réserver en ≤3 actions; état actif perceptible.</t>
        </is>
      </c>
      <c r="J12" s="29" t="inlineStr">
        <is>
          <t>P1</t>
        </is>
      </c>
      <c r="K12" s="23" t="inlineStr">
        <is>
          <t>Validé V4 (Canopée immersive)</t>
        </is>
      </c>
      <c r="L12" s="25" t="inlineStr">
        <is>
          <t>Non exécuté</t>
        </is>
      </c>
      <c r="M12" s="23" t="inlineStr">
        <is>
          <t>UX/UI &amp; DA</t>
        </is>
      </c>
      <c r="N12" s="23" t="inlineStr">
        <is>
          <t>L.7388 / 5686</t>
        </is>
      </c>
      <c r="O12" s="26" t="inlineStr"/>
    </row>
    <row r="13" ht="94" customHeight="1">
      <c r="A13" s="27" t="inlineStr">
        <is>
          <t>DS-08</t>
        </is>
      </c>
      <c r="B13" s="28" t="inlineStr">
        <is>
          <t>Design System</t>
        </is>
      </c>
      <c r="C13" s="28" t="inlineStr">
        <is>
          <t>Composants métier : simulateur, panier, billet QR démo, scan entrée et KPIs</t>
        </is>
      </c>
      <c r="D13" s="28" t="inlineStr">
        <is>
          <t>Simulateur, panier, billets QR, scan, KPIs, états métier</t>
        </is>
      </c>
      <c r="E13" s="28" t="inlineStr">
        <is>
          <t>Composants métier regroupés dans plusieurs familles; certains flux identifiés comme démo. Pas de sec-DS-08 autonome : contenu regroupé ou écran seulement répertorié.</t>
        </is>
      </c>
      <c r="F13" s="28" t="inlineStr">
        <is>
          <t>Validation statique uniquement : pas de test navigateur/backend.</t>
        </is>
      </c>
      <c r="G13" s="28" t="inlineStr">
        <is>
          <t>Distinguer explicitement maquette, simulation et flux homologué; unifier les états de service.</t>
        </is>
      </c>
      <c r="H13" s="28" t="inlineStr">
        <is>
          <t>Comparer les composants communs entre RES, AGT, EXP, DIR et ADM.</t>
        </is>
      </c>
      <c r="I13" s="28" t="inlineStr">
        <is>
          <t>Un même dossier affiche mêmes statut, montant, date et référence sur tous les écrans.</t>
        </is>
      </c>
      <c r="J13" s="31" t="inlineStr">
        <is>
          <t>P0</t>
        </is>
      </c>
      <c r="K13" s="28" t="inlineStr">
        <is>
          <t>Validé V4 (Canopée immersive)</t>
        </is>
      </c>
      <c r="L13" s="25" t="inlineStr">
        <is>
          <t>Non exécuté</t>
        </is>
      </c>
      <c r="M13" s="28" t="inlineStr">
        <is>
          <t>UX/UI &amp; DA</t>
        </is>
      </c>
      <c r="N13" s="28" t="inlineStr">
        <is>
          <t>L.7389 / 5686</t>
        </is>
      </c>
      <c r="O13" s="30" t="inlineStr"/>
    </row>
    <row r="14" ht="94" customHeight="1">
      <c r="A14" s="22" t="inlineStr">
        <is>
          <t>PUB-01</t>
        </is>
      </c>
      <c r="B14" s="23" t="inlineStr">
        <is>
          <t>Site public</t>
        </is>
      </c>
      <c r="C14" s="23" t="inlineStr">
        <is>
          <t>Accueil ECOPARK CAMEROUN</t>
        </is>
      </c>
      <c r="D14" s="23" t="inlineStr">
        <is>
          <t>Hero, galerie immersive, CTA réservation, 3 prix, 4 profils</t>
        </is>
      </c>
      <c r="E14" s="23" t="inlineStr">
        <is>
          <t>Hero très informatif; météo affichée « En direct » depuis un preset; nombreux CTA simultanés. Ancre autonome sec-PUB-01 présente.</t>
        </is>
      </c>
      <c r="F14" s="23" t="inlineStr">
        <is>
          <t>Anomalies associées : A-009, A-012, A-013, A-018, A-022</t>
        </is>
      </c>
      <c r="G14" s="23" t="inlineStr">
        <is>
          <t>Hiérarchiser 1 CTA primaire et 1 secondaire; raccourcir le bloc principal; fiabiliser météo.</t>
        </is>
      </c>
      <c r="H14" s="23" t="inlineStr">
        <is>
          <t>Visite famille depuis la page d’accueil jusqu’à sélection de prestation sur smartphone.</t>
        </is>
      </c>
      <c r="I14" s="23" t="inlineStr">
        <is>
          <t>Activité + prix + CTA visibles sans confusion; source/heure météo explicites si affichage live.</t>
        </is>
      </c>
      <c r="J14" s="29" t="inlineStr">
        <is>
          <t>P1</t>
        </is>
      </c>
      <c r="K14" s="23" t="inlineStr">
        <is>
          <t>Validé V4 (Canopée immersive)</t>
        </is>
      </c>
      <c r="L14" s="25" t="inlineStr">
        <is>
          <t>Non exécuté</t>
        </is>
      </c>
      <c r="M14" s="23" t="inlineStr">
        <is>
          <t>Équipe web &amp; contenu</t>
        </is>
      </c>
      <c r="N14" s="23" t="inlineStr">
        <is>
          <t>L.3050 / 7391</t>
        </is>
      </c>
      <c r="O14" s="26" t="inlineStr"/>
    </row>
    <row r="15" ht="94" customHeight="1">
      <c r="A15" s="27" t="inlineStr">
        <is>
          <t>PUB-02</t>
        </is>
      </c>
      <c r="B15" s="28" t="inlineStr">
        <is>
          <t>Site public</t>
        </is>
      </c>
      <c r="C15" s="28" t="inlineStr">
        <is>
          <t>Découvrir ECOPARK : présentation, plan d'orientation illustré et engagements</t>
        </is>
      </c>
      <c r="D15" s="28" t="inlineStr">
        <is>
          <t>Présentation, engagements, plan illustré et orientation</t>
        </is>
      </c>
      <c r="E15" s="28" t="inlineStr">
        <is>
          <t>Écran listé; plan et SVG d’Ahala intégrés dans le contenu public groupé. Pas de sec-PUB-02 autonome : contenu regroupé ou écran seulement répertorié.</t>
        </is>
      </c>
      <c r="F15" s="28" t="inlineStr">
        <is>
          <t>Validation statique uniquement : pas de test navigateur/backend.</t>
        </is>
      </c>
      <c r="G15" s="28" t="inlineStr">
        <is>
          <t>Rendre le plan accessible, préciser que la carte est schématique et proposer une alternative texte.</t>
        </is>
      </c>
      <c r="H15" s="28" t="inlineStr">
        <is>
          <t>Activer chaque zone du plan avec clavier et lecteur d’écran; vérifier description.</t>
        </is>
      </c>
      <c r="I15" s="28" t="inlineStr">
        <is>
          <t>Toutes les zones sont accessibles et conduisent à une information ou activité pertinente.</t>
        </is>
      </c>
      <c r="J15" s="29" t="inlineStr">
        <is>
          <t>P1</t>
        </is>
      </c>
      <c r="K15" s="28" t="inlineStr">
        <is>
          <t>Validé V4 (Canopée immersive)</t>
        </is>
      </c>
      <c r="L15" s="25" t="inlineStr">
        <is>
          <t>Non exécuté</t>
        </is>
      </c>
      <c r="M15" s="28" t="inlineStr">
        <is>
          <t>Équipe web &amp; contenu</t>
        </is>
      </c>
      <c r="N15" s="28" t="inlineStr">
        <is>
          <t>L.7392 / 3031</t>
        </is>
      </c>
      <c r="O15" s="30" t="inlineStr"/>
    </row>
    <row r="16" ht="94" customHeight="1">
      <c r="A16" s="22" t="inlineStr">
        <is>
          <t>PUB-03</t>
        </is>
      </c>
      <c r="B16" s="23" t="inlineStr">
        <is>
          <t>Site public</t>
        </is>
      </c>
      <c r="C16" s="23" t="inlineStr">
        <is>
          <t>Catalogue des expériences et activités avec filtres</t>
        </is>
      </c>
      <c r="D16" s="23" t="inlineStr">
        <is>
          <t>Liste expériences, photos, filtres, tarifs, CTA</t>
        </is>
      </c>
      <c r="E16" s="23" t="inlineStr">
        <is>
          <t>Cartes activités présentes sous sec-PUB-03; illustrations locales et photos réelles coexistent. Ancre autonome sec-PUB-03 présente.</t>
        </is>
      </c>
      <c r="F16" s="23" t="inlineStr">
        <is>
          <t>Validation statique uniquement : pas de test navigateur/backend.</t>
        </is>
      </c>
      <c r="G16" s="23" t="inlineStr">
        <is>
          <t>Aligner catégories, filtres et libellés; signaler les contenus non photographiques si requis.</t>
        </is>
      </c>
      <c r="H16" s="23" t="inlineStr">
        <is>
          <t>Filtrer faune, eau et restauration, réinitialiser puis ouvrir une fiche.</t>
        </is>
      </c>
      <c r="I16" s="23" t="inlineStr">
        <is>
          <t>Filtres appliqués sans incohérence; prix et disponibilité associés à la bonne activité.</t>
        </is>
      </c>
      <c r="J16" s="29" t="inlineStr">
        <is>
          <t>P1</t>
        </is>
      </c>
      <c r="K16" s="23" t="inlineStr">
        <is>
          <t>Validé V4 (Canopée immersive)</t>
        </is>
      </c>
      <c r="L16" s="25" t="inlineStr">
        <is>
          <t>Non exécuté</t>
        </is>
      </c>
      <c r="M16" s="23" t="inlineStr">
        <is>
          <t>Équipe web &amp; contenu</t>
        </is>
      </c>
      <c r="N16" s="23" t="inlineStr">
        <is>
          <t>L.3196 / 7393</t>
        </is>
      </c>
      <c r="O16" s="26" t="inlineStr"/>
    </row>
    <row r="17" ht="94" customHeight="1">
      <c r="A17" s="27" t="inlineStr">
        <is>
          <t>PUB-04</t>
        </is>
      </c>
      <c r="B17" s="28" t="inlineStr">
        <is>
          <t>Site public</t>
        </is>
      </c>
      <c r="C17" s="28" t="inlineStr">
        <is>
          <t>Fiche détail d'une activité ou expérience (Balade en pirogue)</t>
        </is>
      </c>
      <c r="D17" s="28" t="inlineStr">
        <is>
          <t>Détail pirogue : durée, conditions, tarif, visuel, réserver</t>
        </is>
      </c>
      <c r="E17" s="28" t="inlineStr">
        <is>
          <t>Identifiant déclaré mais pas de section autonome sec-PUB-04 dans le HTML. Pas de sec-PUB-04 autonome : contenu regroupé ou écran seulement répertorié.</t>
        </is>
      </c>
      <c r="F17" s="28" t="inlineStr">
        <is>
          <t>Anomalies associées : A-019</t>
        </is>
      </c>
      <c r="G17" s="28" t="inlineStr">
        <is>
          <t>Isoler une fiche détail stable avec ancre/URL, règles d’âge, sécurité et CTA.</t>
        </is>
      </c>
      <c r="H17" s="28" t="inlineStr">
        <is>
          <t>Ouvrir la pirogue depuis le catalogue; modifier nombre de participants.</t>
        </is>
      </c>
      <c r="I17" s="28" t="inlineStr">
        <is>
          <t>Le détail s’ouvre directement; le panier reprend le bon produit et le bon prix.</t>
        </is>
      </c>
      <c r="J17" s="29" t="inlineStr">
        <is>
          <t>P1</t>
        </is>
      </c>
      <c r="K17" s="28" t="inlineStr">
        <is>
          <t>Validé V4 (Canopée immersive)</t>
        </is>
      </c>
      <c r="L17" s="25" t="inlineStr">
        <is>
          <t>Non exécuté</t>
        </is>
      </c>
      <c r="M17" s="28" t="inlineStr">
        <is>
          <t>Équipe web &amp; contenu</t>
        </is>
      </c>
      <c r="N17" s="28" t="inlineStr">
        <is>
          <t>L.7394 / 3031</t>
        </is>
      </c>
      <c r="O17" s="30" t="inlineStr"/>
    </row>
    <row r="18" ht="94" customHeight="1">
      <c r="A18" s="22" t="inlineStr">
        <is>
          <t>PUB-05</t>
        </is>
      </c>
      <c r="B18" s="23" t="inlineStr">
        <is>
          <t>Site public</t>
        </is>
      </c>
      <c r="C18" s="23" t="inlineStr">
        <is>
          <t>Nature, faune et espaces de découverte (Jardin zoologique &amp; botanique)</t>
        </is>
      </c>
      <c r="D18" s="23" t="inlineStr">
        <is>
          <t>Zoo, faune/flore, sécurité, visite pédagogique</t>
        </is>
      </c>
      <c r="E18" s="23" t="inlineStr">
        <is>
          <t>Contenu faune et gorille ToTo présent au sein des cartes d’univers. Pas de sec-PUB-05 autonome : contenu regroupé ou écran seulement répertorié.</t>
        </is>
      </c>
      <c r="F18" s="23" t="inlineStr">
        <is>
          <t>Validation statique uniquement : pas de test navigateur/backend.</t>
        </is>
      </c>
      <c r="G18" s="23" t="inlineStr">
        <is>
          <t>Ajouter conditions réelles d’accès/observation, avertissements et consignes de bien-être animal.</t>
        </is>
      </c>
      <c r="H18" s="23" t="inlineStr">
        <is>
          <t>Trouver les informations sur les activités et restrictions avant réservation.</t>
        </is>
      </c>
      <c r="I18" s="23" t="inlineStr">
        <is>
          <t>Consignes affichées avant achat; aucune promesse d’observation garantie non vérifiée.</t>
        </is>
      </c>
      <c r="J18" s="29" t="inlineStr">
        <is>
          <t>P1</t>
        </is>
      </c>
      <c r="K18" s="23" t="inlineStr">
        <is>
          <t>Validé V4 (Canopée immersive)</t>
        </is>
      </c>
      <c r="L18" s="25" t="inlineStr">
        <is>
          <t>Non exécuté</t>
        </is>
      </c>
      <c r="M18" s="23" t="inlineStr">
        <is>
          <t>Équipe web &amp; contenu</t>
        </is>
      </c>
      <c r="N18" s="23" t="inlineStr">
        <is>
          <t>L.7395 / 3031</t>
        </is>
      </c>
      <c r="O18" s="26" t="inlineStr"/>
    </row>
    <row r="19" ht="94" customHeight="1">
      <c r="A19" s="27" t="inlineStr">
        <is>
          <t>PUB-06</t>
        </is>
      </c>
      <c r="B19" s="28" t="inlineStr">
        <is>
          <t>Site public</t>
        </is>
      </c>
      <c r="C19" s="28" t="inlineStr">
        <is>
          <t>Loisirs aquatiques et activités de plein air (Piscine, Lac, Équitation)</t>
        </is>
      </c>
      <c r="D19" s="28" t="inlineStr">
        <is>
          <t>Piscine, lac, cheval, pêche, équipements, règles</t>
        </is>
      </c>
      <c r="E19" s="28" t="inlineStr">
        <is>
          <t>Loisirs aquatiques et équitation présentés dans un bloc d’univers commun. Pas de sec-PUB-06 autonome : contenu regroupé ou écran seulement répertorié.</t>
        </is>
      </c>
      <c r="F19" s="28" t="inlineStr">
        <is>
          <t>Validation statique uniquement : pas de test navigateur/backend.</t>
        </is>
      </c>
      <c r="G19" s="28" t="inlineStr">
        <is>
          <t>Clarifier âges, horaires, encadrement, équipement, conditions météo et inclusions.</t>
        </is>
      </c>
      <c r="H19" s="28" t="inlineStr">
        <is>
          <t>Comparer une visite enfant/adulte puis réserver une activité sensible.</t>
        </is>
      </c>
      <c r="I19" s="28" t="inlineStr">
        <is>
          <t>Tarifs, contraintes de sécurité et disponibilité visibles avant confirmation.</t>
        </is>
      </c>
      <c r="J19" s="29" t="inlineStr">
        <is>
          <t>P1</t>
        </is>
      </c>
      <c r="K19" s="28" t="inlineStr">
        <is>
          <t>Validé V4 (Canopée immersive)</t>
        </is>
      </c>
      <c r="L19" s="25" t="inlineStr">
        <is>
          <t>Non exécuté</t>
        </is>
      </c>
      <c r="M19" s="28" t="inlineStr">
        <is>
          <t>Équipe web &amp; contenu</t>
        </is>
      </c>
      <c r="N19" s="28" t="inlineStr">
        <is>
          <t>L.7396 / 3031</t>
        </is>
      </c>
      <c r="O19" s="30" t="inlineStr"/>
    </row>
    <row r="20" ht="94" customHeight="1">
      <c r="A20" s="22" t="inlineStr">
        <is>
          <t>PUB-07</t>
        </is>
      </c>
      <c r="B20" s="23" t="inlineStr">
        <is>
          <t>Site public</t>
        </is>
      </c>
      <c r="C20" s="23" t="inlineStr">
        <is>
          <t>Restauration et espaces de détente (Le Château des Saveurs en FCFA)</t>
        </is>
      </c>
      <c r="D20" s="23" t="inlineStr">
        <is>
          <t>Menu Château des Saveurs, photos, prix, disponibilité, contact</t>
        </is>
      </c>
      <c r="E20" s="23" t="inlineStr">
        <is>
          <t>Carte restauration et plats référencés; certains prix de menu dans le snapshot sont null. Ancre autonome sec-PUB-07 présente.</t>
        </is>
      </c>
      <c r="F20" s="23" t="inlineStr">
        <is>
          <t>Anomalies associées : A-014</t>
        </is>
      </c>
      <c r="G20" s="23" t="inlineStr">
        <is>
          <t>Afficher prix confirmé ou « Prix à confirmer »; ne pas permettre une commande chiffrée sur prix nul.</t>
        </is>
      </c>
      <c r="H20" s="23" t="inlineStr">
        <is>
          <t>Ouvrir chaque plat, tester commande/disponibilité et item sans prix.</t>
        </is>
      </c>
      <c r="I20" s="23" t="inlineStr">
        <is>
          <t>Aucun prix inventé; un article sans prix ne peut devenir une ligne payable.</t>
        </is>
      </c>
      <c r="J20" s="29" t="inlineStr">
        <is>
          <t>P1</t>
        </is>
      </c>
      <c r="K20" s="23" t="inlineStr">
        <is>
          <t>Validé V4 (Canopée immersive)</t>
        </is>
      </c>
      <c r="L20" s="25" t="inlineStr">
        <is>
          <t>Non exécuté</t>
        </is>
      </c>
      <c r="M20" s="23" t="inlineStr">
        <is>
          <t>Équipe web &amp; contenu</t>
        </is>
      </c>
      <c r="N20" s="23" t="inlineStr">
        <is>
          <t>L.3258 / 7397</t>
        </is>
      </c>
      <c r="O20" s="26" t="inlineStr"/>
    </row>
    <row r="21" ht="94" customHeight="1">
      <c r="A21" s="27" t="inlineStr">
        <is>
          <t>PUB-08</t>
        </is>
      </c>
      <c r="B21" s="28" t="inlineStr">
        <is>
          <t>Site public</t>
        </is>
      </c>
      <c r="C21" s="28" t="inlineStr">
        <is>
          <t>Hébergement : vue d'ensemble (Cités Ewondo, Chanthel &amp; Bene)</t>
        </is>
      </c>
      <c r="D21" s="28" t="inlineStr">
        <is>
          <t>Comparaison des cités Bene/Chanthel/Ewondo, équipement, prix</t>
        </is>
      </c>
      <c r="E21" s="28" t="inlineStr">
        <is>
          <t>Carte hébergement dédiée, prix indicatifs 10 000–30 000 FCFA et inventaire simulé. Ancre autonome sec-PUB-08 présente.</t>
        </is>
      </c>
      <c r="F21" s="28" t="inlineStr">
        <is>
          <t>Validation statique uniquement : pas de test navigateur/backend.</t>
        </is>
      </c>
      <c r="G21" s="28" t="inlineStr">
        <is>
          <t>Comparer les trois offres dans une grille homogène; préciser nuitée, taxes, disponibilité.</t>
        </is>
      </c>
      <c r="H21" s="28" t="inlineStr">
        <is>
          <t>Filtrer par budget et capacité puis choisir une cité.</t>
        </is>
      </c>
      <c r="I21" s="28" t="inlineStr">
        <is>
          <t>Chaque offre indique prix unitaire, capacité, prestations et règles de séjour.</t>
        </is>
      </c>
      <c r="J21" s="29" t="inlineStr">
        <is>
          <t>P1</t>
        </is>
      </c>
      <c r="K21" s="28" t="inlineStr">
        <is>
          <t>Validé V4 (Canopée immersive)</t>
        </is>
      </c>
      <c r="L21" s="25" t="inlineStr">
        <is>
          <t>Non exécuté</t>
        </is>
      </c>
      <c r="M21" s="28" t="inlineStr">
        <is>
          <t>Équipe web &amp; contenu</t>
        </is>
      </c>
      <c r="N21" s="28" t="inlineStr">
        <is>
          <t>L.3283 / 7398</t>
        </is>
      </c>
      <c r="O21" s="30" t="inlineStr"/>
    </row>
    <row r="22" ht="94" customHeight="1">
      <c r="A22" s="22" t="inlineStr">
        <is>
          <t>PUB-09</t>
        </is>
      </c>
      <c r="B22" s="23" t="inlineStr">
        <is>
          <t>Site public</t>
        </is>
      </c>
      <c r="C22" s="23" t="inlineStr">
        <is>
          <t>Fiche détail d'une formule d'hébergement (Loge Ewondo)</t>
        </is>
      </c>
      <c r="D22" s="23" t="inlineStr">
        <is>
          <t>Fiche loge Ewondo, galerie, équipements, calendrier</t>
        </is>
      </c>
      <c r="E22" s="23" t="inlineStr">
        <is>
          <t>Identifiant listé mais pas de sec-PUB-09 autonome; parcours loge partagé. Pas de sec-PUB-09 autonome : contenu regroupé ou écran seulement répertorié.</t>
        </is>
      </c>
      <c r="F22" s="23" t="inlineStr">
        <is>
          <t>Anomalies associées : A-004, A-019</t>
        </is>
      </c>
      <c r="G22" s="23" t="inlineStr">
        <is>
          <t>Créer fiche profonde liée au calendrier réel; montrer disponibilité par date.</t>
        </is>
      </c>
      <c r="H22" s="23" t="inlineStr">
        <is>
          <t>Sélectionner Ewondo, changer deux dates, vérifier stock et panier.</t>
        </is>
      </c>
      <c r="I22" s="23" t="inlineStr">
        <is>
          <t>Stock et tarif cohérents selon dates; aucune réservation en cas de quota épuisé.</t>
        </is>
      </c>
      <c r="J22" s="31" t="inlineStr">
        <is>
          <t>P0</t>
        </is>
      </c>
      <c r="K22" s="23" t="inlineStr">
        <is>
          <t>Validé V4 (Canopée immersive)</t>
        </is>
      </c>
      <c r="L22" s="25" t="inlineStr">
        <is>
          <t>Non exécuté</t>
        </is>
      </c>
      <c r="M22" s="23" t="inlineStr">
        <is>
          <t>Équipe web &amp; contenu</t>
        </is>
      </c>
      <c r="N22" s="23" t="inlineStr">
        <is>
          <t>L.7399 / 3031</t>
        </is>
      </c>
      <c r="O22" s="26" t="inlineStr"/>
    </row>
    <row r="23" ht="94" customHeight="1">
      <c r="A23" s="27" t="inlineStr">
        <is>
          <t>PUB-10</t>
        </is>
      </c>
      <c r="B23" s="28" t="inlineStr">
        <is>
          <t>Site public</t>
        </is>
      </c>
      <c r="C23" s="28" t="inlineStr">
        <is>
          <t>Tarifs, formules et conditions (Grille officielle en FCFA)</t>
        </is>
      </c>
      <c r="D23" s="28" t="inlineStr">
        <is>
          <t>Tarifs FCFA, pass, conditions, âge, promotions</t>
        </is>
      </c>
      <c r="E23" s="28" t="inlineStr">
        <is>
          <t>Tableaux et pass sous sec-PUB-10; prix poussés en Hero et devis. Ancre autonome sec-PUB-10 présente.</t>
        </is>
      </c>
      <c r="F23" s="28" t="inlineStr">
        <is>
          <t>Validation statique uniquement : pas de test navigateur/backend.</t>
        </is>
      </c>
      <c r="G23" s="28" t="inlineStr">
        <is>
          <t>Une source tarifaire unique avec date d’effet; clarifier enfant/adulte et réductions.</t>
        </is>
      </c>
      <c r="H23" s="28" t="inlineStr">
        <is>
          <t>Comparer Zoo/Piscine/Pass entre PUB-10, RES-03 et AGT-03.</t>
        </is>
      </c>
      <c r="I23" s="28" t="inlineStr">
        <is>
          <t>Même prix de référence dans 3 parcours pour tout jeu de cas; écarts = 0 FCFA.</t>
        </is>
      </c>
      <c r="J23" s="31" t="inlineStr">
        <is>
          <t>P0</t>
        </is>
      </c>
      <c r="K23" s="28" t="inlineStr">
        <is>
          <t>Validé V4 (Canopée immersive)</t>
        </is>
      </c>
      <c r="L23" s="25" t="inlineStr">
        <is>
          <t>Non exécuté</t>
        </is>
      </c>
      <c r="M23" s="28" t="inlineStr">
        <is>
          <t>Équipe web &amp; contenu</t>
        </is>
      </c>
      <c r="N23" s="28" t="inlineStr">
        <is>
          <t>L.3360 / 7400</t>
        </is>
      </c>
      <c r="O23" s="30" t="inlineStr"/>
    </row>
    <row r="24" ht="94" customHeight="1">
      <c r="A24" s="22" t="inlineStr">
        <is>
          <t>PUB-11</t>
        </is>
      </c>
      <c r="B24" s="23" t="inlineStr">
        <is>
          <t>Site public</t>
        </is>
      </c>
      <c r="C24" s="23" t="inlineStr">
        <is>
          <t>Groupes, écoles, entreprises et événements</t>
        </is>
      </c>
      <c r="D24" s="23" t="inlineStr">
        <is>
          <t>Offres écoles, entreprises, séminaires, devis</t>
        </is>
      </c>
      <c r="E24" s="23" t="inlineStr">
        <is>
          <t>Carte B2B dédiée et modal devis; parcours « Proforma 2 min ». Ancre autonome sec-PUB-11 présente.</t>
        </is>
      </c>
      <c r="F24" s="23" t="inlineStr">
        <is>
          <t>Anomalies associées : A-015</t>
        </is>
      </c>
      <c r="G24" s="23" t="inlineStr">
        <is>
          <t>Identifier prestations incluses/exclues, minimum groupe et délai de réponse réel.</t>
        </is>
      </c>
      <c r="H24" s="23" t="inlineStr">
        <is>
          <t>Demander devis 30 personnes, option salle et transport; vérifier coordonnées et confirmation.</t>
        </is>
      </c>
      <c r="I24" s="23" t="inlineStr">
        <is>
          <t>Référence unique; devis sauvegardé côté serveur et retrouvable par l’équipe.</t>
        </is>
      </c>
      <c r="J24" s="31" t="inlineStr">
        <is>
          <t>P0</t>
        </is>
      </c>
      <c r="K24" s="23" t="inlineStr">
        <is>
          <t>Validé V4 (Canopée immersive)</t>
        </is>
      </c>
      <c r="L24" s="25" t="inlineStr">
        <is>
          <t>Non exécuté</t>
        </is>
      </c>
      <c r="M24" s="23" t="inlineStr">
        <is>
          <t>Équipe web &amp; contenu</t>
        </is>
      </c>
      <c r="N24" s="23" t="inlineStr">
        <is>
          <t>L.3308 / 7401</t>
        </is>
      </c>
      <c r="O24" s="26" t="inlineStr"/>
    </row>
    <row r="25" ht="94" customHeight="1">
      <c r="A25" s="27" t="inlineStr">
        <is>
          <t>PUB-12</t>
        </is>
      </c>
      <c r="B25" s="28" t="inlineStr">
        <is>
          <t>Site public</t>
        </is>
      </c>
      <c r="C25" s="28" t="inlineStr">
        <is>
          <t>Formation professionnelle : présentation, filières, conditions et candidature (CFP)</t>
        </is>
      </c>
      <c r="D25" s="28" t="inlineStr">
        <is>
          <t>CFP : 5 filières, candidature, frais, reconnaissance</t>
        </is>
      </c>
      <c r="E25" s="28" t="inlineStr">
        <is>
          <t>Bloc CFP et modal candidature prévus; agrément MINEFOP mentionné. Ancre autonome sec-PUB-12 présente.</t>
        </is>
      </c>
      <c r="F25" s="28" t="inlineStr">
        <is>
          <t>Anomalies associées : A-021</t>
        </is>
      </c>
      <c r="G25" s="28" t="inlineStr">
        <is>
          <t>Vérifier preuves d’agrément, coûts, calendrier et qualification; éviter garantie d’emploi non prouvée.</t>
        </is>
      </c>
      <c r="H25" s="28" t="inlineStr">
        <is>
          <t>Candidater avec erreurs de champ, pièces jointes et consentement.</t>
        </is>
      </c>
      <c r="I25" s="28" t="inlineStr">
        <is>
          <t>Candidature complète tracée; pièces reçues; accusé de réception vérifiable.</t>
        </is>
      </c>
      <c r="J25" s="29" t="inlineStr">
        <is>
          <t>P1</t>
        </is>
      </c>
      <c r="K25" s="28" t="inlineStr">
        <is>
          <t>Validé V4 (Canopée immersive)</t>
        </is>
      </c>
      <c r="L25" s="25" t="inlineStr">
        <is>
          <t>Non exécuté</t>
        </is>
      </c>
      <c r="M25" s="28" t="inlineStr">
        <is>
          <t>Équipe web &amp; contenu</t>
        </is>
      </c>
      <c r="N25" s="28" t="inlineStr">
        <is>
          <t>L.3332 / 7402</t>
        </is>
      </c>
      <c r="O25" s="30" t="inlineStr"/>
    </row>
    <row r="26" ht="94" customHeight="1">
      <c r="A26" s="22" t="inlineStr">
        <is>
          <t>PUB-13</t>
        </is>
      </c>
      <c r="B26" s="23" t="inlineStr">
        <is>
          <t>Site public</t>
        </is>
      </c>
      <c r="C26" s="23" t="inlineStr">
        <is>
          <t>Informations pratiques : horaires, accès Ahala Barrière, conseils et météo</t>
        </is>
      </c>
      <c r="D26" s="23" t="inlineStr">
        <is>
          <t>Adresse, horaires, accès, météo, parking, conseils</t>
        </is>
      </c>
      <c r="E26" s="23" t="inlineStr">
        <is>
          <t>Bandeau météo/affluence et localisation Ahala; météo pilotée par presets. Ancre autonome sec-PUB-13 présente.</t>
        </is>
      </c>
      <c r="F26" s="23" t="inlineStr">
        <is>
          <t>Anomalies associées : A-009, A-021</t>
        </is>
      </c>
      <c r="G26" s="23" t="inlineStr">
        <is>
          <t>Retirer mention « temps réel » si donnée non issue d’un flux daté; afficher source trafic.</t>
        </is>
      </c>
      <c r="H26" s="23" t="inlineStr">
        <is>
          <t>Comparer informations pratiques sur plusieurs pages et cas hors connexion.</t>
        </is>
      </c>
      <c r="I26" s="23" t="inlineStr">
        <is>
          <t>Adresse/horaire/numéro identiques; statut dynamique daté ou qualifié d’indicatif.</t>
        </is>
      </c>
      <c r="J26" s="29" t="inlineStr">
        <is>
          <t>P1</t>
        </is>
      </c>
      <c r="K26" s="23" t="inlineStr">
        <is>
          <t>Validé V4 (Canopée immersive)</t>
        </is>
      </c>
      <c r="L26" s="25" t="inlineStr">
        <is>
          <t>Non exécuté</t>
        </is>
      </c>
      <c r="M26" s="23" t="inlineStr">
        <is>
          <t>Équipe web &amp; contenu</t>
        </is>
      </c>
      <c r="N26" s="23" t="inlineStr">
        <is>
          <t>L.3464 / 7403</t>
        </is>
      </c>
      <c r="O26" s="26" t="inlineStr"/>
    </row>
    <row r="27" ht="94" customHeight="1">
      <c r="A27" s="27" t="inlineStr">
        <is>
          <t>PUB-14</t>
        </is>
      </c>
      <c r="B27" s="28" t="inlineStr">
        <is>
          <t>Site public</t>
        </is>
      </c>
      <c r="C27" s="28" t="inlineStr">
        <is>
          <t>Galerie média (Photos réelles ECOPARK &amp; Illustrations locales badgées)</t>
        </is>
      </c>
      <c r="D27" s="28" t="inlineStr">
        <is>
          <t>Galerie photos, provenance, légendes, zoom</t>
        </is>
      </c>
      <c r="E27" s="28" t="inlineStr">
        <is>
          <t>Galerie mosaïque et lightbox prévues; médias origine masqués en mode visiteur. Ancre autonome sec-PUB-14 présente.</t>
        </is>
      </c>
      <c r="F27" s="28" t="inlineStr">
        <is>
          <t>Anomalies associées : A-012, A-022</t>
        </is>
      </c>
      <c r="G27" s="28" t="inlineStr">
        <is>
          <t>Établir banque photo sourcée; alternatives textuelles et crédits/licences internes.</t>
        </is>
      </c>
      <c r="H27" s="28" t="inlineStr">
        <is>
          <t>Ouvrir zoom, changer photo, fermer clavier, tester images manquantes.</t>
        </is>
      </c>
      <c r="I27" s="28" t="inlineStr">
        <is>
          <t>Aucune image cassée; légende et texte alternatif utile; modal accessible.</t>
        </is>
      </c>
      <c r="J27" s="29" t="inlineStr">
        <is>
          <t>P1</t>
        </is>
      </c>
      <c r="K27" s="28" t="inlineStr">
        <is>
          <t>Validé V4 (Canopée immersive)</t>
        </is>
      </c>
      <c r="L27" s="25" t="inlineStr">
        <is>
          <t>Non exécuté</t>
        </is>
      </c>
      <c r="M27" s="28" t="inlineStr">
        <is>
          <t>Équipe web &amp; contenu</t>
        </is>
      </c>
      <c r="N27" s="28" t="inlineStr">
        <is>
          <t>L.3622 / 7404</t>
        </is>
      </c>
      <c r="O27" s="30" t="inlineStr"/>
    </row>
    <row r="28" ht="94" customHeight="1">
      <c r="A28" s="22" t="inlineStr">
        <is>
          <t>PUB-15</t>
        </is>
      </c>
      <c r="B28" s="23" t="inlineStr">
        <is>
          <t>Site public</t>
        </is>
      </c>
      <c r="C28" s="23" t="inlineStr">
        <is>
          <t>Actualités et événements au parc</t>
        </is>
      </c>
      <c r="D28" s="23" t="inlineStr">
        <is>
          <t>Liste agenda, filtres semaine, visuels et réservations</t>
        </is>
      </c>
      <c r="E28" s="23" t="inlineStr">
        <is>
          <t>Agenda hebdomadaire et cartes événementielles présents. Ancre autonome sec-PUB-15 présente.</t>
        </is>
      </c>
      <c r="F28" s="23" t="inlineStr">
        <is>
          <t>Validation statique uniquement : pas de test navigateur/backend.</t>
        </is>
      </c>
      <c r="G28" s="23" t="inlineStr">
        <is>
          <t>Lier événements à dates futures et jauges; étiqueter les exemples et archives.</t>
        </is>
      </c>
      <c r="H28" s="23" t="inlineStr">
        <is>
          <t>Filtrer par jour, tester agenda vide et réserver un événement.</t>
        </is>
      </c>
      <c r="I28" s="23" t="inlineStr">
        <is>
          <t>Aucun événement expiré présenté comme à venir; CTA désactivé si complet.</t>
        </is>
      </c>
      <c r="J28" s="29" t="inlineStr">
        <is>
          <t>P1</t>
        </is>
      </c>
      <c r="K28" s="23" t="inlineStr">
        <is>
          <t>Validé V4 (Canopée immersive)</t>
        </is>
      </c>
      <c r="L28" s="25" t="inlineStr">
        <is>
          <t>Non exécuté</t>
        </is>
      </c>
      <c r="M28" s="23" t="inlineStr">
        <is>
          <t>Équipe web &amp; contenu</t>
        </is>
      </c>
      <c r="N28" s="23" t="inlineStr">
        <is>
          <t>L.3849 / 7405</t>
        </is>
      </c>
      <c r="O28" s="26" t="inlineStr"/>
    </row>
    <row r="29" ht="94" customHeight="1">
      <c r="A29" s="27" t="inlineStr">
        <is>
          <t>PUB-16</t>
        </is>
      </c>
      <c r="B29" s="28" t="inlineStr">
        <is>
          <t>Site public</t>
        </is>
      </c>
      <c r="C29" s="28" t="inlineStr">
        <is>
          <t>Fiche détail d'une actualité ou d'un événement</t>
        </is>
      </c>
      <c r="D29" s="28" t="inlineStr">
        <is>
          <t>Fiche événement, horaire, lieu, programme, inscription</t>
        </is>
      </c>
      <c r="E29" s="28" t="inlineStr">
        <is>
          <t>Détail événement et visuels dans une modal et bloc public commun. Ancre autonome sec-PUB-16 présente.</t>
        </is>
      </c>
      <c r="F29" s="28" t="inlineStr">
        <is>
          <t>Validation statique uniquement : pas de test navigateur/backend.</t>
        </is>
      </c>
      <c r="G29" s="28" t="inlineStr">
        <is>
          <t>Afficher conditions et disponibilité en amont; partage de lien direct.</t>
        </is>
      </c>
      <c r="H29" s="28" t="inlineStr">
        <is>
          <t>Ouvrir événement depuis l’agenda et revenir sans perdre filtres.</t>
        </is>
      </c>
      <c r="I29" s="28" t="inlineStr">
        <is>
          <t>Programme/date/prix identiques dans liste, détail et récapitulatif.</t>
        </is>
      </c>
      <c r="J29" s="29" t="inlineStr">
        <is>
          <t>P1</t>
        </is>
      </c>
      <c r="K29" s="28" t="inlineStr">
        <is>
          <t>Validé V4 (Canopée immersive)</t>
        </is>
      </c>
      <c r="L29" s="25" t="inlineStr">
        <is>
          <t>Non exécuté</t>
        </is>
      </c>
      <c r="M29" s="28" t="inlineStr">
        <is>
          <t>Équipe web &amp; contenu</t>
        </is>
      </c>
      <c r="N29" s="28" t="inlineStr">
        <is>
          <t>L.3720 / 7406</t>
        </is>
      </c>
      <c r="O29" s="30" t="inlineStr"/>
    </row>
    <row r="30" ht="94" customHeight="1">
      <c r="A30" s="22" t="inlineStr">
        <is>
          <t>PUB-17</t>
        </is>
      </c>
      <c r="B30" s="23" t="inlineStr">
        <is>
          <t>Site public</t>
        </is>
      </c>
      <c r="C30" s="23" t="inlineStr">
        <is>
          <t>Foire aux questions (FAQ)</t>
        </is>
      </c>
      <c r="D30" s="23" t="inlineStr">
        <is>
          <t>FAQ, accordéons, recherche, liens internes</t>
        </is>
      </c>
      <c r="E30" s="23" t="inlineStr">
        <is>
          <t>FAQ annoncée dans bloc PUB-17/PUB-19; accordéons CSS disponibles. Pas de sec-PUB-17 autonome : contenu regroupé ou écran seulement répertorié.</t>
        </is>
      </c>
      <c r="F30" s="23" t="inlineStr">
        <is>
          <t>Validation statique uniquement : pas de test navigateur/backend.</t>
        </is>
      </c>
      <c r="G30" s="23" t="inlineStr">
        <is>
          <t>Réduire redondances, classer questions par thème, gérer aucun résultat.</t>
        </is>
      </c>
      <c r="H30" s="23" t="inlineStr">
        <is>
          <t>Rechercher horaires, pluie, billets; tester clavier et ouverture multiple.</t>
        </is>
      </c>
      <c r="I30" s="23" t="inlineStr">
        <is>
          <t>Réponse trouvée en ≤2 interactions utiles ou message clair si absent.</t>
        </is>
      </c>
      <c r="J30" s="24" t="inlineStr">
        <is>
          <t>P2</t>
        </is>
      </c>
      <c r="K30" s="23" t="inlineStr">
        <is>
          <t>Validé V4 (Canopée immersive)</t>
        </is>
      </c>
      <c r="L30" s="25" t="inlineStr">
        <is>
          <t>Non exécuté</t>
        </is>
      </c>
      <c r="M30" s="23" t="inlineStr">
        <is>
          <t>Équipe web &amp; contenu</t>
        </is>
      </c>
      <c r="N30" s="23" t="inlineStr">
        <is>
          <t>L.7407 / 3031</t>
        </is>
      </c>
      <c r="O30" s="26" t="inlineStr"/>
    </row>
    <row r="31" ht="94" customHeight="1">
      <c r="A31" s="27" t="inlineStr">
        <is>
          <t>PUB-18</t>
        </is>
      </c>
      <c r="B31" s="28" t="inlineStr">
        <is>
          <t>Site public</t>
        </is>
      </c>
      <c r="C31" s="28" t="inlineStr">
        <is>
          <t>Contact et localisation à Yaoundé-Ahala</t>
        </is>
      </c>
      <c r="D31" s="28" t="inlineStr">
        <is>
          <t>Contacts, carte, WhatsApp, formulaire, itinéraire</t>
        </is>
      </c>
      <c r="E31" s="28" t="inlineStr">
        <is>
          <t>Coordonnées présentes; prise de RDV et contact centralisés dans zone PUB-18. Ancre autonome sec-PUB-18 présente.</t>
        </is>
      </c>
      <c r="F31" s="28" t="inlineStr">
        <is>
          <t>Validation statique uniquement : pas de test navigateur/backend.</t>
        </is>
      </c>
      <c r="G31" s="28" t="inlineStr">
        <is>
          <t>Clarifier canal le plus rapide et protéger le formulaire contre spam.</t>
        </is>
      </c>
      <c r="H31" s="28" t="inlineStr">
        <is>
          <t>Envoyer demande test avec numéro +237 et vérifier confirmation réelle.</t>
        </is>
      </c>
      <c r="I31" s="28" t="inlineStr">
        <is>
          <t>Dossier de contact enregistré, sans fuite de données, et réponse traçable.</t>
        </is>
      </c>
      <c r="J31" s="29" t="inlineStr">
        <is>
          <t>P1</t>
        </is>
      </c>
      <c r="K31" s="28" t="inlineStr">
        <is>
          <t>Validé V4 (Canopée immersive)</t>
        </is>
      </c>
      <c r="L31" s="25" t="inlineStr">
        <is>
          <t>Non exécuté</t>
        </is>
      </c>
      <c r="M31" s="28" t="inlineStr">
        <is>
          <t>Équipe web &amp; contenu</t>
        </is>
      </c>
      <c r="N31" s="28" t="inlineStr">
        <is>
          <t>L.3576 / 7408</t>
        </is>
      </c>
      <c r="O31" s="30" t="inlineStr"/>
    </row>
    <row r="32" ht="94" customHeight="1">
      <c r="A32" s="22" t="inlineStr">
        <is>
          <t>PUB-19</t>
        </is>
      </c>
      <c r="B32" s="23" t="inlineStr">
        <is>
          <t>Site public</t>
        </is>
      </c>
      <c r="C32" s="23" t="inlineStr">
        <is>
          <t>Recherche globale et résultats</t>
        </is>
      </c>
      <c r="D32" s="23" t="inlineStr">
        <is>
          <t>Recherche globale, suggestions et état vide</t>
        </is>
      </c>
      <c r="E32" s="23" t="inlineStr">
        <is>
          <t>Recherche globale prévue; génération de résultats dans le DOM via innerHTML. Pas de sec-PUB-19 autonome : contenu regroupé ou écran seulement répertorié.</t>
        </is>
      </c>
      <c r="F32" s="23" t="inlineStr">
        <is>
          <t>Anomalies associées : A-010</t>
        </is>
      </c>
      <c r="G32" s="23" t="inlineStr">
        <is>
          <t>Assainir les chaînes insérées; classer résultats et afficher recherche sans résultat.</t>
        </is>
      </c>
      <c r="H32" s="23" t="inlineStr">
        <is>
          <t>Tester recherche avec caractères spéciaux, mot inconnu, termes fréquents.</t>
        </is>
      </c>
      <c r="I32" s="23" t="inlineStr">
        <is>
          <t>Résultats pertinents; toute saisie est affichée comme texte, jamais exécutée.</t>
        </is>
      </c>
      <c r="J32" s="31" t="inlineStr">
        <is>
          <t>P0</t>
        </is>
      </c>
      <c r="K32" s="23" t="inlineStr">
        <is>
          <t>Validé V4 (Canopée immersive)</t>
        </is>
      </c>
      <c r="L32" s="25" t="inlineStr">
        <is>
          <t>Non exécuté</t>
        </is>
      </c>
      <c r="M32" s="23" t="inlineStr">
        <is>
          <t>Équipe web &amp; contenu</t>
        </is>
      </c>
      <c r="N32" s="23" t="inlineStr">
        <is>
          <t>L.7409 / 3031</t>
        </is>
      </c>
      <c r="O32" s="26" t="inlineStr"/>
    </row>
    <row r="33" ht="94" customHeight="1">
      <c r="A33" s="27" t="inlineStr">
        <is>
          <t>PUB-20</t>
        </is>
      </c>
      <c r="B33" s="28" t="inlineStr">
        <is>
          <t>Site public</t>
        </is>
      </c>
      <c r="C33" s="28" t="inlineStr">
        <is>
          <t>Pages légales : mentions légales, confidentialité, CGV et cookies</t>
        </is>
      </c>
      <c r="D33" s="28" t="inlineStr">
        <is>
          <t>Mentions légales, confidentialité, CGV, cookies</t>
        </is>
      </c>
      <c r="E33" s="28" t="inlineStr">
        <is>
          <t>Pages légales répertoriées; absence de section autonome identifiée. Pas de sec-PUB-20 autonome : contenu regroupé ou écran seulement répertorié.</t>
        </is>
      </c>
      <c r="F33" s="28" t="inlineStr">
        <is>
          <t>Validation statique uniquement : pas de test navigateur/backend.</t>
        </is>
      </c>
      <c r="G33" s="28" t="inlineStr">
        <is>
          <t>Vérifier présence textes complets, données personnelles, conservation, politique cookies.</t>
        </is>
      </c>
      <c r="H33" s="28" t="inlineStr">
        <is>
          <t>Ouvrir chaque document depuis le footer et contrôler version/édition.</t>
        </is>
      </c>
      <c r="I33" s="28" t="inlineStr">
        <is>
          <t>Mentions consultables; politique cohérente avec flux WhatsApp, paiement et compte.</t>
        </is>
      </c>
      <c r="J33" s="31" t="inlineStr">
        <is>
          <t>P0</t>
        </is>
      </c>
      <c r="K33" s="28" t="inlineStr">
        <is>
          <t>Validé V4 (Canopée immersive)</t>
        </is>
      </c>
      <c r="L33" s="25" t="inlineStr">
        <is>
          <t>Non exécuté</t>
        </is>
      </c>
      <c r="M33" s="28" t="inlineStr">
        <is>
          <t>Équipe web &amp; contenu</t>
        </is>
      </c>
      <c r="N33" s="28" t="inlineStr">
        <is>
          <t>L.7410 / 3031</t>
        </is>
      </c>
      <c r="O33" s="30" t="inlineStr"/>
    </row>
    <row r="34" ht="94" customHeight="1">
      <c r="A34" s="22" t="inlineStr">
        <is>
          <t>PUB-21</t>
        </is>
      </c>
      <c r="B34" s="23" t="inlineStr">
        <is>
          <t>Site public</t>
        </is>
      </c>
      <c r="C34" s="23" t="inlineStr">
        <is>
          <t>Page 404 — Page introuvable</t>
        </is>
      </c>
      <c r="D34" s="23" t="inlineStr">
        <is>
          <t>404, lien accueil, recherche, navigation</t>
        </is>
      </c>
      <c r="E34" s="23" t="inlineStr">
        <is>
          <t>Écran listé dans inspecteur; non isolé comme route HTTP 404 dans le HTML. Pas de sec-PUB-21 autonome : contenu regroupé ou écran seulement répertorié.</t>
        </is>
      </c>
      <c r="F34" s="23" t="inlineStr">
        <is>
          <t>Anomalies associées : A-019</t>
        </is>
      </c>
      <c r="G34" s="23" t="inlineStr">
        <is>
          <t>Implémenter véritable réponse 404 et navigation de retour.</t>
        </is>
      </c>
      <c r="H34" s="23" t="inlineStr">
        <is>
          <t>Saisir URL inconnue directement, puis revenir à l’accueil.</t>
        </is>
      </c>
      <c r="I34" s="23" t="inlineStr">
        <is>
          <t>Réponse HTTP 404; message clair; CTA accueil actif.</t>
        </is>
      </c>
      <c r="J34" s="29" t="inlineStr">
        <is>
          <t>P1</t>
        </is>
      </c>
      <c r="K34" s="23" t="inlineStr">
        <is>
          <t>Validé V4 (Canopée immersive)</t>
        </is>
      </c>
      <c r="L34" s="25" t="inlineStr">
        <is>
          <t>Non exécuté</t>
        </is>
      </c>
      <c r="M34" s="23" t="inlineStr">
        <is>
          <t>Équipe web &amp; contenu</t>
        </is>
      </c>
      <c r="N34" s="23" t="inlineStr">
        <is>
          <t>L.7411 / 3031</t>
        </is>
      </c>
      <c r="O34" s="26" t="inlineStr"/>
    </row>
    <row r="35" ht="94" customHeight="1">
      <c r="A35" s="27" t="inlineStr">
        <is>
          <t>PUB-22</t>
        </is>
      </c>
      <c r="B35" s="28" t="inlineStr">
        <is>
          <t>Site public</t>
        </is>
      </c>
      <c r="C35" s="28" t="inlineStr">
        <is>
          <t>Page maintenance ou service momentanément indisponible</t>
        </is>
      </c>
      <c r="D35" s="28" t="inlineStr">
        <is>
          <t>Maintenance, indisponibilité et contact de secours</t>
        </is>
      </c>
      <c r="E35" s="28" t="inlineStr">
        <is>
          <t>Écran de maintenance listé mais pas de route autonome confirmée. Pas de sec-PUB-22 autonome : contenu regroupé ou écran seulement répertorié.</t>
        </is>
      </c>
      <c r="F35" s="28" t="inlineStr">
        <is>
          <t>Validation statique uniquement : pas de test navigateur/backend.</t>
        </is>
      </c>
      <c r="G35" s="28" t="inlineStr">
        <is>
          <t>Prévoir page statique indépendante du backend et statut service.</t>
        </is>
      </c>
      <c r="H35" s="28" t="inlineStr">
        <is>
          <t>Simuler coupure serveur/front/API et lire le message de secours.</t>
        </is>
      </c>
      <c r="I35" s="28" t="inlineStr">
        <is>
          <t>Page accessible sans API; statut non trompeur; contact et prochaines actions visibles.</t>
        </is>
      </c>
      <c r="J35" s="29" t="inlineStr">
        <is>
          <t>P1</t>
        </is>
      </c>
      <c r="K35" s="28" t="inlineStr">
        <is>
          <t>Validé V4 (Canopée immersive)</t>
        </is>
      </c>
      <c r="L35" s="25" t="inlineStr">
        <is>
          <t>Non exécuté</t>
        </is>
      </c>
      <c r="M35" s="28" t="inlineStr">
        <is>
          <t>Équipe web &amp; contenu</t>
        </is>
      </c>
      <c r="N35" s="28" t="inlineStr">
        <is>
          <t>L.7412 / 3031</t>
        </is>
      </c>
      <c r="O35" s="30" t="inlineStr"/>
    </row>
    <row r="36" ht="94" customHeight="1">
      <c r="A36" s="22" t="inlineStr">
        <is>
          <t>RES-01</t>
        </is>
      </c>
      <c r="B36" s="23" t="inlineStr">
        <is>
          <t>Réservation</t>
        </is>
      </c>
      <c r="C36" s="23" t="inlineStr">
        <is>
          <t>Assistant « Préparer ma visite »</t>
        </is>
      </c>
      <c r="D36" s="23" t="inlineStr">
        <is>
          <t>Assistant de visite, étapes, choix de formule</t>
        </is>
      </c>
      <c r="E36" s="23" t="inlineStr">
        <is>
          <t>Assistant intitulé « Préparez votre visite » dans vue RES; étapes regroupées. Pas de sec-RES-01 autonome : contenu regroupé ou écran seulement répertorié.</t>
        </is>
      </c>
      <c r="F36" s="23" t="inlineStr">
        <is>
          <t>Validation statique uniquement : pas de test navigateur/backend.</t>
        </is>
      </c>
      <c r="G36" s="23" t="inlineStr">
        <is>
          <t>Afficher progression, récapitulatif et reprise sans recommencer.</t>
        </is>
      </c>
      <c r="H36" s="23" t="inlineStr">
        <is>
          <t>Démarrer par Accueil et revenir depuis le résumé.</t>
        </is>
      </c>
      <c r="I36" s="23" t="inlineStr">
        <is>
          <t>Aucune donnée non sensible perdue; progression claire; retour cohérent.</t>
        </is>
      </c>
      <c r="J36" s="29" t="inlineStr">
        <is>
          <t>P1</t>
        </is>
      </c>
      <c r="K36" s="23" t="inlineStr">
        <is>
          <t>Validé V4 (Canopée immersive)</t>
        </is>
      </c>
      <c r="L36" s="25" t="inlineStr">
        <is>
          <t>Non exécuté</t>
        </is>
      </c>
      <c r="M36" s="23" t="inlineStr">
        <is>
          <t>Produit &amp; paiements</t>
        </is>
      </c>
      <c r="N36" s="23" t="inlineStr">
        <is>
          <t>L.7414 / 3916</t>
        </is>
      </c>
      <c r="O36" s="26" t="inlineStr"/>
    </row>
    <row r="37" ht="94" customHeight="1">
      <c r="A37" s="27" t="inlineStr">
        <is>
          <t>RES-02</t>
        </is>
      </c>
      <c r="B37" s="28" t="inlineStr">
        <is>
          <t>Réservation</t>
        </is>
      </c>
      <c r="C37" s="28" t="inlineStr">
        <is>
          <t>Sélection de la date, du créneau et de la composition du groupe</t>
        </is>
      </c>
      <c r="D37" s="28" t="inlineStr">
        <is>
          <t>Date, créneau, adultes, enfants, tout-petits</t>
        </is>
      </c>
      <c r="E37" s="28" t="inlineStr">
        <is>
          <t>Sélecteur de date et composition affichés avec règles de groupes. Pas de sec-RES-02 autonome : contenu regroupé ou écran seulement répertorié.</t>
        </is>
      </c>
      <c r="F37" s="28" t="inlineStr">
        <is>
          <t>Anomalies associées : A-016</t>
        </is>
      </c>
      <c r="G37" s="28" t="inlineStr">
        <is>
          <t>Interdire date passée/fermeture/lundi et quotas dépassés; expliciter âge enfant.</t>
        </is>
      </c>
      <c r="H37" s="28" t="inlineStr">
        <is>
          <t>Tester lundi, hier, jour complet, 0 participant, 50 participants.</t>
        </is>
      </c>
      <c r="I37" s="28" t="inlineStr">
        <is>
          <t>Rejet explicite des dates impossibles; effectif et date propagés au devis.</t>
        </is>
      </c>
      <c r="J37" s="31" t="inlineStr">
        <is>
          <t>P0</t>
        </is>
      </c>
      <c r="K37" s="28" t="inlineStr">
        <is>
          <t>Validé V4 (Canopée immersive)</t>
        </is>
      </c>
      <c r="L37" s="25" t="inlineStr">
        <is>
          <t>Non exécuté</t>
        </is>
      </c>
      <c r="M37" s="28" t="inlineStr">
        <is>
          <t>Produit &amp; paiements</t>
        </is>
      </c>
      <c r="N37" s="28" t="inlineStr">
        <is>
          <t>L.7415 / 3916</t>
        </is>
      </c>
      <c r="O37" s="30" t="inlineStr"/>
    </row>
    <row r="38" ht="94" customHeight="1">
      <c r="A38" s="22" t="inlineStr">
        <is>
          <t>RES-03</t>
        </is>
      </c>
      <c r="B38" s="23" t="inlineStr">
        <is>
          <t>Réservation</t>
        </is>
      </c>
      <c r="C38" s="23" t="inlineStr">
        <is>
          <t>Simulateur de budget en FCFA et sélection des prestations</t>
        </is>
      </c>
      <c r="D38" s="23" t="inlineStr">
        <is>
          <t>Pass et activités à la carte, compteurs, prix FCFA</t>
        </is>
      </c>
      <c r="E38" s="23" t="inlineStr">
        <is>
          <t>Calculateur local et synchronisation panier sont implémentés. Pas de sec-RES-03 autonome : contenu regroupé ou écran seulement répertorié.</t>
        </is>
      </c>
      <c r="F38" s="23" t="inlineStr">
        <is>
          <t>Validation statique uniquement : pas de test navigateur/backend.</t>
        </is>
      </c>
      <c r="G38" s="23" t="inlineStr">
        <is>
          <t>Centraliser règles tarifaires et protéger la logique de calcul côté serveur.</t>
        </is>
      </c>
      <c r="H38" s="23" t="inlineStr">
        <is>
          <t>Calculer cas simples, mixtes, réductions, articles sans prix et quantité max.</t>
        </is>
      </c>
      <c r="I38" s="23" t="inlineStr">
        <is>
          <t>Total exact, non négatif; calcul serveur identique au récapitulatif.</t>
        </is>
      </c>
      <c r="J38" s="31" t="inlineStr">
        <is>
          <t>P0</t>
        </is>
      </c>
      <c r="K38" s="23" t="inlineStr">
        <is>
          <t>Validé V4 (Canopée immersive)</t>
        </is>
      </c>
      <c r="L38" s="25" t="inlineStr">
        <is>
          <t>Non exécuté</t>
        </is>
      </c>
      <c r="M38" s="23" t="inlineStr">
        <is>
          <t>Produit &amp; paiements</t>
        </is>
      </c>
      <c r="N38" s="23" t="inlineStr">
        <is>
          <t>L.7416 / 3916</t>
        </is>
      </c>
      <c r="O38" s="26" t="inlineStr"/>
    </row>
    <row r="39" ht="94" customHeight="1">
      <c r="A39" s="27" t="inlineStr">
        <is>
          <t>RES-04</t>
        </is>
      </c>
      <c r="B39" s="28" t="inlineStr">
        <is>
          <t>Réservation</t>
        </is>
      </c>
      <c r="C39" s="28" t="inlineStr">
        <is>
          <t>Panier et récapitulatif détaillé des prestations</t>
        </is>
      </c>
      <c r="D39" s="28" t="inlineStr">
        <is>
          <t>Panier, ventilation, frais, taxes, modifier/supprimer</t>
        </is>
      </c>
      <c r="E39" s="28" t="inlineStr">
        <is>
          <t>Panier récapitulatif généré dynamiquement via innerHTML. Pas de sec-RES-04 autonome : contenu regroupé ou écran seulement répertorié.</t>
        </is>
      </c>
      <c r="F39" s="28" t="inlineStr">
        <is>
          <t>Validation statique uniquement : pas de test navigateur/backend.</t>
        </is>
      </c>
      <c r="G39" s="28" t="inlineStr">
        <is>
          <t>Ventiler prestations et frais; supprimer chaque ligne; protéger sortie HTML.</t>
        </is>
      </c>
      <c r="H39" s="28" t="inlineStr">
        <is>
          <t>Ajouter trois offres, supprimer une, changer date puis actualiser.</t>
        </is>
      </c>
      <c r="I39" s="28" t="inlineStr">
        <is>
          <t>Récapitulatif recalculé sans écart, données persistantes jusqu’à validation.</t>
        </is>
      </c>
      <c r="J39" s="31" t="inlineStr">
        <is>
          <t>P0</t>
        </is>
      </c>
      <c r="K39" s="28" t="inlineStr">
        <is>
          <t>Validé V4 (Canopée immersive)</t>
        </is>
      </c>
      <c r="L39" s="25" t="inlineStr">
        <is>
          <t>Non exécuté</t>
        </is>
      </c>
      <c r="M39" s="28" t="inlineStr">
        <is>
          <t>Produit &amp; paiements</t>
        </is>
      </c>
      <c r="N39" s="28" t="inlineStr">
        <is>
          <t>L.7417 / 3916</t>
        </is>
      </c>
      <c r="O39" s="30" t="inlineStr"/>
    </row>
    <row r="40" ht="94" customHeight="1">
      <c r="A40" s="22" t="inlineStr">
        <is>
          <t>RES-05</t>
        </is>
      </c>
      <c r="B40" s="23" t="inlineStr">
        <is>
          <t>Réservation</t>
        </is>
      </c>
      <c r="C40" s="23" t="inlineStr">
        <is>
          <t>Coordonnées du visiteur ou du responsable de groupe</t>
        </is>
      </c>
      <c r="D40" s="23" t="inlineStr">
        <is>
          <t>Nom, téléphone, organisation, consentement</t>
        </is>
      </c>
      <c r="E40" s="23" t="inlineStr">
        <is>
          <t>Champs de coordonnées présents; valeurs de remplacement possibles selon le driver. Pas de sec-RES-05 autonome : contenu regroupé ou écran seulement répertorié.</t>
        </is>
      </c>
      <c r="F40" s="23" t="inlineStr">
        <is>
          <t>Anomalies associées : A-015, A-024</t>
        </is>
      </c>
      <c r="G40" s="23" t="inlineStr">
        <is>
          <t>Rendre téléphone visiteur requis et validé sur tous les canaux; limiter collecte.</t>
        </is>
      </c>
      <c r="H40" s="23" t="inlineStr">
        <is>
          <t>Soumettre sans téléphone, numéro mal formé et numéro réel de test.</t>
        </is>
      </c>
      <c r="I40" s="23" t="inlineStr">
        <is>
          <t>Aucun dossier réel sans contact exploitable; erreurs indiquées au bon champ.</t>
        </is>
      </c>
      <c r="J40" s="31" t="inlineStr">
        <is>
          <t>P0</t>
        </is>
      </c>
      <c r="K40" s="23" t="inlineStr">
        <is>
          <t>Validé V4 (Canopée immersive)</t>
        </is>
      </c>
      <c r="L40" s="25" t="inlineStr">
        <is>
          <t>Non exécuté</t>
        </is>
      </c>
      <c r="M40" s="23" t="inlineStr">
        <is>
          <t>Produit &amp; paiements</t>
        </is>
      </c>
      <c r="N40" s="23" t="inlineStr">
        <is>
          <t>L.7418 / 3916</t>
        </is>
      </c>
      <c r="O40" s="26" t="inlineStr"/>
    </row>
    <row r="41" ht="94" customHeight="1">
      <c r="A41" s="27" t="inlineStr">
        <is>
          <t>RES-06</t>
        </is>
      </c>
      <c r="B41" s="28" t="inlineStr">
        <is>
          <t>Réservation</t>
        </is>
      </c>
      <c r="C41" s="28" t="inlineStr">
        <is>
          <t>Demande de devis groupe, école, entreprise ou événement</t>
        </is>
      </c>
      <c r="D41" s="28" t="inlineStr">
        <is>
          <t>Formulaire devis groupe, options, contact, estimation</t>
        </is>
      </c>
      <c r="E41" s="28" t="inlineStr">
        <is>
          <t>Modal devis sauvegarde puis peut lancer création Supabase asynchrone. Pas de sec-RES-06 autonome : contenu regroupé ou écran seulement répertorié.</t>
        </is>
      </c>
      <c r="F41" s="28" t="inlineStr">
        <is>
          <t>Anomalies associées : A-006</t>
        </is>
      </c>
      <c r="G41" s="28" t="inlineStr">
        <is>
          <t>Afficher « demande reçue » seulement après accusé serveur; empêcher doublons.</t>
        </is>
      </c>
      <c r="H41" s="28" t="inlineStr">
        <is>
          <t>Couper réseau entre soumission et réponse serveur; réessayer.</t>
        </is>
      </c>
      <c r="I41" s="28" t="inlineStr">
        <is>
          <t>Aucun faux succès; une demande = une référence persistée, sans doublon.</t>
        </is>
      </c>
      <c r="J41" s="31" t="inlineStr">
        <is>
          <t>P0</t>
        </is>
      </c>
      <c r="K41" s="28" t="inlineStr">
        <is>
          <t>Validé V4 (Canopée immersive)</t>
        </is>
      </c>
      <c r="L41" s="25" t="inlineStr">
        <is>
          <t>Non exécuté</t>
        </is>
      </c>
      <c r="M41" s="28" t="inlineStr">
        <is>
          <t>Produit &amp; paiements</t>
        </is>
      </c>
      <c r="N41" s="28" t="inlineStr">
        <is>
          <t>L.7419 / 3916</t>
        </is>
      </c>
      <c r="O41" s="30" t="inlineStr"/>
    </row>
    <row r="42" ht="94" customHeight="1">
      <c r="A42" s="22" t="inlineStr">
        <is>
          <t>RES-07</t>
        </is>
      </c>
      <c r="B42" s="23" t="inlineStr">
        <is>
          <t>Réservation</t>
        </is>
      </c>
      <c r="C42" s="23" t="inlineStr">
        <is>
          <t>Choix du mode de règlement ou de réservation</t>
        </is>
      </c>
      <c r="D42" s="23" t="inlineStr">
        <is>
          <t>Choix paiement, pré-réservation guichet, CGV</t>
        </is>
      </c>
      <c r="E42" s="23" t="inlineStr">
        <is>
          <t>Choix règlement et flux guichet 11h prévu dans prototype. Pas de sec-RES-07 autonome : contenu regroupé ou écran seulement répertorié.</t>
        </is>
      </c>
      <c r="F42" s="23" t="inlineStr">
        <is>
          <t>Validation statique uniquement : pas de test navigateur/backend.</t>
        </is>
      </c>
      <c r="G42" s="23" t="inlineStr">
        <is>
          <t>Distinguer option, commande en attente et réservation confirmée.</t>
        </is>
      </c>
      <c r="H42" s="23" t="inlineStr">
        <is>
          <t>Alterner Mobile Money/guichet; expirer une option non payée.</t>
        </is>
      </c>
      <c r="I42" s="23" t="inlineStr">
        <is>
          <t>État cohérent: en attente ≠ payé; place libérée après échéance.</t>
        </is>
      </c>
      <c r="J42" s="31" t="inlineStr">
        <is>
          <t>P0</t>
        </is>
      </c>
      <c r="K42" s="23" t="inlineStr">
        <is>
          <t>Validé V4 (Canopée immersive)</t>
        </is>
      </c>
      <c r="L42" s="25" t="inlineStr">
        <is>
          <t>Non exécuté</t>
        </is>
      </c>
      <c r="M42" s="23" t="inlineStr">
        <is>
          <t>Produit &amp; paiements</t>
        </is>
      </c>
      <c r="N42" s="23" t="inlineStr">
        <is>
          <t>L.7420 / 3916</t>
        </is>
      </c>
      <c r="O42" s="26" t="inlineStr"/>
    </row>
    <row r="43" ht="94" customHeight="1">
      <c r="A43" s="27" t="inlineStr">
        <is>
          <t>RES-08</t>
        </is>
      </c>
      <c r="B43" s="28" t="inlineStr">
        <is>
          <t>Réservation</t>
        </is>
      </c>
      <c r="C43" s="28" t="inlineStr">
        <is>
          <t>Écran de paiement Mobile Money en mode démonstration (Sans PIN)</t>
        </is>
      </c>
      <c r="D43" s="28" t="inlineStr">
        <is>
          <t>Paiement Mobile Money (démo), état en cours/échec</t>
        </is>
      </c>
      <c r="E43" s="28" t="inlineStr">
        <is>
          <t>Écran annoncé « mode démonstration (Sans PIN) ». Pas de sec-RES-08 autonome : contenu regroupé ou écran seulement répertorié.</t>
        </is>
      </c>
      <c r="F43" s="28" t="inlineStr">
        <is>
          <t>Anomalies associées : A-005</t>
        </is>
      </c>
      <c r="G43" s="28" t="inlineStr">
        <is>
          <t>Implémenter passerelle réelle avec webhook vérifié; ne jamais demander PIN.</t>
        </is>
      </c>
      <c r="H43" s="28" t="inlineStr">
        <is>
          <t>Simuler succès, refus, timeout, notification tardive, paiement en double.</t>
        </is>
      </c>
      <c r="I43" s="28" t="inlineStr">
        <is>
          <t>Aucun billet payé avant confirmation PSP authentifiée; transaction idempotente.</t>
        </is>
      </c>
      <c r="J43" s="31" t="inlineStr">
        <is>
          <t>P0</t>
        </is>
      </c>
      <c r="K43" s="28" t="inlineStr">
        <is>
          <t>Validé V4 (Canopée immersive)</t>
        </is>
      </c>
      <c r="L43" s="25" t="inlineStr">
        <is>
          <t>Non exécuté</t>
        </is>
      </c>
      <c r="M43" s="28" t="inlineStr">
        <is>
          <t>Produit &amp; paiements</t>
        </is>
      </c>
      <c r="N43" s="28" t="inlineStr">
        <is>
          <t>L.7421 / 3916</t>
        </is>
      </c>
      <c r="O43" s="30" t="inlineStr"/>
    </row>
    <row r="44" ht="94" customHeight="1">
      <c r="A44" s="22" t="inlineStr">
        <is>
          <t>RES-09</t>
        </is>
      </c>
      <c r="B44" s="23" t="inlineStr">
        <is>
          <t>Réservation</t>
        </is>
      </c>
      <c r="C44" s="23" t="inlineStr">
        <is>
          <t>Confirmation de réservation avec billet QR de démonstration</t>
        </is>
      </c>
      <c r="D44" s="23" t="inlineStr">
        <is>
          <t>Confirmation, billet QR, date, identité, montant</t>
        </is>
      </c>
      <c r="E44" s="23" t="inlineStr">
        <is>
          <t>Billet et QR démonstration intégrés dans le HTML. Pas de sec-RES-09 autonome : contenu regroupé ou écran seulement répertorié.</t>
        </is>
      </c>
      <c r="F44" s="23" t="inlineStr">
        <is>
          <t>Anomalies associées : A-003, A-005, A-008</t>
        </is>
      </c>
      <c r="G44" s="23" t="inlineStr">
        <is>
          <t>Signer jeton QR côté serveur, contrôler statut et émission après paiement.</t>
        </is>
      </c>
      <c r="H44" s="23" t="inlineStr">
        <is>
          <t>Tenter double création, QR altéré, billet annulé, cas paiement confirmé.</t>
        </is>
      </c>
      <c r="I44" s="23" t="inlineStr">
        <is>
          <t>Chaque billet unique et vérifiable; seuls dossiers validés émettent un QR actif.</t>
        </is>
      </c>
      <c r="J44" s="31" t="inlineStr">
        <is>
          <t>P0</t>
        </is>
      </c>
      <c r="K44" s="23" t="inlineStr">
        <is>
          <t>Validé V4 (Canopée immersive)</t>
        </is>
      </c>
      <c r="L44" s="25" t="inlineStr">
        <is>
          <t>Non exécuté</t>
        </is>
      </c>
      <c r="M44" s="23" t="inlineStr">
        <is>
          <t>Produit &amp; paiements</t>
        </is>
      </c>
      <c r="N44" s="23" t="inlineStr">
        <is>
          <t>L.7422 / 3916</t>
        </is>
      </c>
      <c r="O44" s="26" t="inlineStr"/>
    </row>
    <row r="45" ht="94" customHeight="1">
      <c r="A45" s="27" t="inlineStr">
        <is>
          <t>RES-10</t>
        </is>
      </c>
      <c r="B45" s="28" t="inlineStr">
        <is>
          <t>Réservation</t>
        </is>
      </c>
      <c r="C45" s="28" t="inlineStr">
        <is>
          <t>Confirmation de demande de devis avec numéro de suivi</t>
        </is>
      </c>
      <c r="D45" s="28" t="inlineStr">
        <is>
          <t>Accusé devis, référence, état et contact</t>
        </is>
      </c>
      <c r="E45" s="28" t="inlineStr">
        <is>
          <t>Référence DEV-2026 générée aléatoirement dans le client. Pas de sec-RES-10 autonome : contenu regroupé ou écran seulement répertorié.</t>
        </is>
      </c>
      <c r="F45" s="28" t="inlineStr">
        <is>
          <t>Anomalies associées : A-006</t>
        </is>
      </c>
      <c r="G45" s="28" t="inlineStr">
        <is>
          <t>Remplacer par identifiant unique garanti côté serveur; expliquer délai et suivi.</t>
        </is>
      </c>
      <c r="H45" s="28" t="inlineStr">
        <is>
          <t>Envoyer deux demandes simultanées et contrôler unicité/récupération.</t>
        </is>
      </c>
      <c r="I45" s="28" t="inlineStr">
        <is>
          <t>Deux dossiers distincts; référence confirmée; consultation possible.</t>
        </is>
      </c>
      <c r="J45" s="31" t="inlineStr">
        <is>
          <t>P0</t>
        </is>
      </c>
      <c r="K45" s="28" t="inlineStr">
        <is>
          <t>Validé V4 (Canopée immersive)</t>
        </is>
      </c>
      <c r="L45" s="25" t="inlineStr">
        <is>
          <t>Non exécuté</t>
        </is>
      </c>
      <c r="M45" s="28" t="inlineStr">
        <is>
          <t>Produit &amp; paiements</t>
        </is>
      </c>
      <c r="N45" s="28" t="inlineStr">
        <is>
          <t>L.7423 / 3916</t>
        </is>
      </c>
      <c r="O45" s="30" t="inlineStr"/>
    </row>
    <row r="46" ht="94" customHeight="1">
      <c r="A46" s="22" t="inlineStr">
        <is>
          <t>RES-11</t>
        </is>
      </c>
      <c r="B46" s="23" t="inlineStr">
        <is>
          <t>Réservation</t>
        </is>
      </c>
      <c r="C46" s="23" t="inlineStr">
        <is>
          <t>Échec, expiration ou annulation de paiement avec reprise</t>
        </is>
      </c>
      <c r="D46" s="23" t="inlineStr">
        <is>
          <t>Erreur, expiration, annulation, reprise paiement</t>
        </is>
      </c>
      <c r="E46" s="23" t="inlineStr">
        <is>
          <t>Écran d’échec/expiration référencé; fonction de reprise à éprouver. Pas de sec-RES-11 autonome : contenu regroupé ou écran seulement répertorié.</t>
        </is>
      </c>
      <c r="F46" s="23" t="inlineStr">
        <is>
          <t>Validation statique uniquement : pas de test navigateur/backend.</t>
        </is>
      </c>
      <c r="G46" s="23" t="inlineStr">
        <is>
          <t>Conserver panier, afficher état fiable et éviter re-facturation.</t>
        </is>
      </c>
      <c r="H46" s="23" t="inlineStr">
        <is>
          <t>Couper connexion pendant redirection puis recevoir notification de succès tardive.</t>
        </is>
      </c>
      <c r="I46" s="23" t="inlineStr">
        <is>
          <t>Reprise sans double paiement ni double émission; message fiable.</t>
        </is>
      </c>
      <c r="J46" s="31" t="inlineStr">
        <is>
          <t>P0</t>
        </is>
      </c>
      <c r="K46" s="23" t="inlineStr">
        <is>
          <t>Validé V4 (Canopée immersive)</t>
        </is>
      </c>
      <c r="L46" s="25" t="inlineStr">
        <is>
          <t>Non exécuté</t>
        </is>
      </c>
      <c r="M46" s="23" t="inlineStr">
        <is>
          <t>Produit &amp; paiements</t>
        </is>
      </c>
      <c r="N46" s="23" t="inlineStr">
        <is>
          <t>L.7424 / 3916</t>
        </is>
      </c>
      <c r="O46" s="26" t="inlineStr"/>
    </row>
    <row r="47" ht="94" customHeight="1">
      <c r="A47" s="27" t="inlineStr">
        <is>
          <t>RES-12</t>
        </is>
      </c>
      <c r="B47" s="28" t="inlineStr">
        <is>
          <t>Réservation</t>
        </is>
      </c>
      <c r="C47" s="28" t="inlineStr">
        <is>
          <t>Recherche et consultation d'une réservation par référence</t>
        </is>
      </c>
      <c r="D47" s="28" t="inlineStr">
        <is>
          <t>Recherche référence, numéro, résultat et états</t>
        </is>
      </c>
      <c r="E47" s="28" t="inlineStr">
        <is>
          <t>Fonctions de recherche dossier présentes; accès public/compte à distinguer. Pas de sec-RES-12 autonome : contenu regroupé ou écran seulement répertorié.</t>
        </is>
      </c>
      <c r="F47" s="28" t="inlineStr">
        <is>
          <t>Anomalies associées : A-020</t>
        </is>
      </c>
      <c r="G47" s="28" t="inlineStr">
        <is>
          <t>Limiter données affichées; authentifier avant détail personnel; contrôler essais.</t>
        </is>
      </c>
      <c r="H47" s="28" t="inlineStr">
        <is>
          <t>Chercher référence d’un autre client, référence inexistante, numéro incorrect.</t>
        </is>
      </c>
      <c r="I47" s="28" t="inlineStr">
        <is>
          <t>Aucun accès aux données d’un tiers; résultat vide non divulgateur.</t>
        </is>
      </c>
      <c r="J47" s="31" t="inlineStr">
        <is>
          <t>P0</t>
        </is>
      </c>
      <c r="K47" s="28" t="inlineStr">
        <is>
          <t>Validé V4 (Canopée immersive)</t>
        </is>
      </c>
      <c r="L47" s="25" t="inlineStr">
        <is>
          <t>Non exécuté</t>
        </is>
      </c>
      <c r="M47" s="28" t="inlineStr">
        <is>
          <t>Produit &amp; paiements</t>
        </is>
      </c>
      <c r="N47" s="28" t="inlineStr">
        <is>
          <t>L.7425 / 3916</t>
        </is>
      </c>
      <c r="O47" s="30" t="inlineStr"/>
    </row>
    <row r="48" ht="94" customHeight="1">
      <c r="A48" s="22" t="inlineStr">
        <is>
          <t>ACC-01</t>
        </is>
      </c>
      <c r="B48" s="23" t="inlineStr">
        <is>
          <t>Espace client</t>
        </is>
      </c>
      <c r="C48" s="23" t="inlineStr">
        <is>
          <t>Connexion, création d'accès ou vérification par code (+237)</t>
        </is>
      </c>
      <c r="D48" s="23" t="inlineStr">
        <is>
          <t>Connexion +237, vérification code, expiration</t>
        </is>
      </c>
      <c r="E48" s="23" t="inlineStr">
        <is>
          <t>Accès et vérification par code présentés; prototype multi-rôle. Pas de sec-ACC-01 autonome : contenu regroupé ou écran seulement répertorié.</t>
        </is>
      </c>
      <c r="F48" s="23" t="inlineStr">
        <is>
          <t>Anomalies associées : A-007</t>
        </is>
      </c>
      <c r="G48" s="23" t="inlineStr">
        <is>
          <t>Assurer authentification serveur, OTP expirant, quotas et session protégée.</t>
        </is>
      </c>
      <c r="H48" s="23" t="inlineStr">
        <is>
          <t>Tester code expiré, 5 échecs, session expirée et tentative non autorisée.</t>
        </is>
      </c>
      <c r="I48" s="23" t="inlineStr">
        <is>
          <t>Seul code valide ouvre le compte; blocage/rate limit appliqués.</t>
        </is>
      </c>
      <c r="J48" s="31" t="inlineStr">
        <is>
          <t>P0</t>
        </is>
      </c>
      <c r="K48" s="23" t="inlineStr">
        <is>
          <t>Validé V4 (Canopée immersive)</t>
        </is>
      </c>
      <c r="L48" s="25" t="inlineStr">
        <is>
          <t>Non exécuté</t>
        </is>
      </c>
      <c r="M48" s="23" t="inlineStr">
        <is>
          <t>Produit &amp; sécurité</t>
        </is>
      </c>
      <c r="N48" s="23" t="inlineStr">
        <is>
          <t>L.7427 / 4550</t>
        </is>
      </c>
      <c r="O48" s="26" t="inlineStr"/>
    </row>
    <row r="49" ht="94" customHeight="1">
      <c r="A49" s="27" t="inlineStr">
        <is>
          <t>ACC-02</t>
        </is>
      </c>
      <c r="B49" s="28" t="inlineStr">
        <is>
          <t>Espace client</t>
        </is>
      </c>
      <c r="C49" s="28" t="inlineStr">
        <is>
          <t>Tableau de bord visiteur</t>
        </is>
      </c>
      <c r="D49" s="28" t="inlineStr">
        <is>
          <t>Tableau de bord, activité, réservations, liens rapides</t>
        </is>
      </c>
      <c r="E49" s="28" t="inlineStr">
        <is>
          <t>Tableau client agrège réservations, devis, rendez-vous. Pas de sec-ACC-02 autonome : contenu regroupé ou écran seulement répertorié.</t>
        </is>
      </c>
      <c r="F49" s="28" t="inlineStr">
        <is>
          <t>Validation statique uniquement : pas de test navigateur/backend.</t>
        </is>
      </c>
      <c r="G49" s="28" t="inlineStr">
        <is>
          <t>Afficher état vide, actions contextuelles et prochaine visite en premier.</t>
        </is>
      </c>
      <c r="H49" s="28" t="inlineStr">
        <is>
          <t>Se connecter avec 0, 1 et 20 réservations; comparer à la base.</t>
        </is>
      </c>
      <c r="I49" s="28" t="inlineStr">
        <is>
          <t>Contenu propre au bon compte, lisible sur mobile et chiffres cohérents.</t>
        </is>
      </c>
      <c r="J49" s="31" t="inlineStr">
        <is>
          <t>P0</t>
        </is>
      </c>
      <c r="K49" s="28" t="inlineStr">
        <is>
          <t>Validé V4 (Canopée immersive)</t>
        </is>
      </c>
      <c r="L49" s="25" t="inlineStr">
        <is>
          <t>Non exécuté</t>
        </is>
      </c>
      <c r="M49" s="28" t="inlineStr">
        <is>
          <t>Produit &amp; sécurité</t>
        </is>
      </c>
      <c r="N49" s="28" t="inlineStr">
        <is>
          <t>L.7428 / 4550</t>
        </is>
      </c>
      <c r="O49" s="30" t="inlineStr"/>
    </row>
    <row r="50" ht="94" customHeight="1">
      <c r="A50" s="22" t="inlineStr">
        <is>
          <t>ACC-03</t>
        </is>
      </c>
      <c r="B50" s="23" t="inlineStr">
        <is>
          <t>Espace client</t>
        </is>
      </c>
      <c r="C50" s="23" t="inlineStr">
        <is>
          <t>Mes réservations et billets QR</t>
        </is>
      </c>
      <c r="D50" s="23" t="inlineStr">
        <is>
          <t>Liste billets QR, détail, téléchargement</t>
        </is>
      </c>
      <c r="E50" s="23" t="inlineStr">
        <is>
          <t>Table de billets générée dynamiquement et billet hors-ligne téléchargeable. Pas de sec-ACC-03 autonome : contenu regroupé ou écran seulement répertorié.</t>
        </is>
      </c>
      <c r="F50" s="23" t="inlineStr">
        <is>
          <t>Validation statique uniquement : pas de test navigateur/backend.</t>
        </is>
      </c>
      <c r="G50" s="23" t="inlineStr">
        <is>
          <t>Préciser statut utilisable et date; protéger téléchargement des tiers.</t>
        </is>
      </c>
      <c r="H50" s="23" t="inlineStr">
        <is>
          <t>Télécharger billet actif puis annulé; lire QR hors connexion.</t>
        </is>
      </c>
      <c r="I50" s="23" t="inlineStr">
        <is>
          <t>Billet actif validable, billet annulé refusé; export conserve référence.</t>
        </is>
      </c>
      <c r="J50" s="31" t="inlineStr">
        <is>
          <t>P0</t>
        </is>
      </c>
      <c r="K50" s="23" t="inlineStr">
        <is>
          <t>Validé V4 (Canopée immersive)</t>
        </is>
      </c>
      <c r="L50" s="25" t="inlineStr">
        <is>
          <t>Non exécuté</t>
        </is>
      </c>
      <c r="M50" s="23" t="inlineStr">
        <is>
          <t>Produit &amp; sécurité</t>
        </is>
      </c>
      <c r="N50" s="23" t="inlineStr">
        <is>
          <t>L.7429 / 4550</t>
        </is>
      </c>
      <c r="O50" s="26" t="inlineStr"/>
    </row>
    <row r="51" ht="94" customHeight="1">
      <c r="A51" s="27" t="inlineStr">
        <is>
          <t>ACC-04</t>
        </is>
      </c>
      <c r="B51" s="28" t="inlineStr">
        <is>
          <t>Espace client</t>
        </is>
      </c>
      <c r="C51" s="28" t="inlineStr">
        <is>
          <t>Mes demandes de devis et échanges</t>
        </is>
      </c>
      <c r="D51" s="28" t="inlineStr">
        <is>
          <t>Mes devis et échanges, statut, historique</t>
        </is>
      </c>
      <c r="E51" s="28" t="inlineStr">
        <is>
          <t>Devis et échanges affichés en espace visiteur. Pas de sec-ACC-04 autonome : contenu regroupé ou écran seulement répertorié.</t>
        </is>
      </c>
      <c r="F51" s="28" t="inlineStr">
        <is>
          <t>Anomalies associées : A-020</t>
        </is>
      </c>
      <c r="G51" s="28" t="inlineStr">
        <is>
          <t>Uniformiser statuts, horodatage et pièces jointes sécurisées.</t>
        </is>
      </c>
      <c r="H51" s="28" t="inlineStr">
        <is>
          <t>Ouvrir devis de son compte et tenter accès à une référence tierce.</t>
        </is>
      </c>
      <c r="I51" s="28" t="inlineStr">
        <is>
          <t>Seul titulaire autorisé voit les échanges; statut synchronisé avec EXP.</t>
        </is>
      </c>
      <c r="J51" s="31" t="inlineStr">
        <is>
          <t>P0</t>
        </is>
      </c>
      <c r="K51" s="28" t="inlineStr">
        <is>
          <t>Validé V4 (Canopée immersive)</t>
        </is>
      </c>
      <c r="L51" s="25" t="inlineStr">
        <is>
          <t>Non exécuté</t>
        </is>
      </c>
      <c r="M51" s="28" t="inlineStr">
        <is>
          <t>Produit &amp; sécurité</t>
        </is>
      </c>
      <c r="N51" s="28" t="inlineStr">
        <is>
          <t>L.7430 / 4550</t>
        </is>
      </c>
      <c r="O51" s="30" t="inlineStr"/>
    </row>
    <row r="52" ht="94" customHeight="1">
      <c r="A52" s="22" t="inlineStr">
        <is>
          <t>ACC-05</t>
        </is>
      </c>
      <c r="B52" s="23" t="inlineStr">
        <is>
          <t>Espace client</t>
        </is>
      </c>
      <c r="C52" s="23" t="inlineStr">
        <is>
          <t>Demande de modification, report ou annulation</t>
        </is>
      </c>
      <c r="D52" s="23" t="inlineStr">
        <is>
          <t>Report, annulation, politique, remboursement</t>
        </is>
      </c>
      <c r="E52" s="23" t="inlineStr">
        <is>
          <t>Fonction client de remboursement modifie des champs locaux et annonce succès. Pas de sec-ACC-05 autonome : contenu regroupé ou écran seulement répertorié.</t>
        </is>
      </c>
      <c r="F52" s="23" t="inlineStr">
        <is>
          <t>Anomalies associées : A-002</t>
        </is>
      </c>
      <c r="G52" s="23" t="inlineStr">
        <is>
          <t>Brancher API remboursement réelle avec preuve de règlement; valider règles et stock.</t>
        </is>
      </c>
      <c r="H52" s="23" t="inlineStr">
        <is>
          <t>Annuler un billet payé, consommé, hors délai et avec remboursement refusé.</t>
        </is>
      </c>
      <c r="I52" s="23" t="inlineStr">
        <is>
          <t>Aucun remboursement déclaré effectué sans confirmation PSP; billet invalidé et stock cohérent.</t>
        </is>
      </c>
      <c r="J52" s="31" t="inlineStr">
        <is>
          <t>P0</t>
        </is>
      </c>
      <c r="K52" s="23" t="inlineStr">
        <is>
          <t>Validé V4 (Canopée immersive)</t>
        </is>
      </c>
      <c r="L52" s="25" t="inlineStr">
        <is>
          <t>Non exécuté</t>
        </is>
      </c>
      <c r="M52" s="23" t="inlineStr">
        <is>
          <t>Produit &amp; sécurité</t>
        </is>
      </c>
      <c r="N52" s="23" t="inlineStr">
        <is>
          <t>L.7431 / 4550</t>
        </is>
      </c>
      <c r="O52" s="26" t="inlineStr"/>
    </row>
    <row r="53" ht="94" customHeight="1">
      <c r="A53" s="27" t="inlineStr">
        <is>
          <t>ACC-06</t>
        </is>
      </c>
      <c r="B53" s="28" t="inlineStr">
        <is>
          <t>Espace client</t>
        </is>
      </c>
      <c r="C53" s="28" t="inlineStr">
        <is>
          <t>Profil, coordonnées et préférences</t>
        </is>
      </c>
      <c r="D53" s="28" t="inlineStr">
        <is>
          <t>Profil, contacts, consentement, préférences</t>
        </is>
      </c>
      <c r="E53" s="28" t="inlineStr">
        <is>
          <t>Profil et coordonnées listés dans la vue ACC. Pas de sec-ACC-06 autonome : contenu regroupé ou écran seulement répertorié.</t>
        </is>
      </c>
      <c r="F53" s="28" t="inlineStr">
        <is>
          <t>Validation statique uniquement : pas de test navigateur/backend.</t>
        </is>
      </c>
      <c r="G53" s="28" t="inlineStr">
        <is>
          <t>Permettre rectification, contrôle téléphone et suppression selon politique.</t>
        </is>
      </c>
      <c r="H53" s="28" t="inlineStr">
        <is>
          <t>Modifier le numéro, se reconnecter, vérifier persistance et audit.</t>
        </is>
      </c>
      <c r="I53" s="28" t="inlineStr">
        <is>
          <t>Les informations se mettent à jour uniquement pour l’utilisateur concerné.</t>
        </is>
      </c>
      <c r="J53" s="31" t="inlineStr">
        <is>
          <t>P0</t>
        </is>
      </c>
      <c r="K53" s="28" t="inlineStr">
        <is>
          <t>Validé V4 (Canopée immersive)</t>
        </is>
      </c>
      <c r="L53" s="25" t="inlineStr">
        <is>
          <t>Non exécuté</t>
        </is>
      </c>
      <c r="M53" s="28" t="inlineStr">
        <is>
          <t>Produit &amp; sécurité</t>
        </is>
      </c>
      <c r="N53" s="28" t="inlineStr">
        <is>
          <t>L.7432 / 4550</t>
        </is>
      </c>
      <c r="O53" s="30" t="inlineStr"/>
    </row>
    <row r="54" ht="94" customHeight="1">
      <c r="A54" s="22" t="inlineStr">
        <is>
          <t>AGT-01</t>
        </is>
      </c>
      <c r="B54" s="23" t="inlineStr">
        <is>
          <t>Agent / caisse</t>
        </is>
      </c>
      <c r="C54" s="23" t="inlineStr">
        <is>
          <t>Connexion agent et choix du poste (Guichet / Tourniquet)</t>
        </is>
      </c>
      <c r="D54" s="23" t="inlineStr">
        <is>
          <t>Authentification agent, poste, droits</t>
        </is>
      </c>
      <c r="E54" s="23" t="inlineStr">
        <is>
          <t>Rôle agent sélectionnable dans outil de revue; accès opérationnel séparé à valider. Pas de sec-AGT-01 autonome : contenu regroupé ou écran seulement répertorié.</t>
        </is>
      </c>
      <c r="F54" s="23" t="inlineStr">
        <is>
          <t>Anomalies associées : A-007</t>
        </is>
      </c>
      <c r="G54" s="23" t="inlineStr">
        <is>
          <t>Authentifier personnel; limiter guichet, contrôle et admin par permissions serveur.</t>
        </is>
      </c>
      <c r="H54" s="23" t="inlineStr">
        <is>
          <t>Tenter ouvrir caisse via profil contrôleur et changer de rôle via URL.</t>
        </is>
      </c>
      <c r="I54" s="23" t="inlineStr">
        <is>
          <t>Accès refusé hors périmètre; identité de chaque opération tracée.</t>
        </is>
      </c>
      <c r="J54" s="31" t="inlineStr">
        <is>
          <t>P0</t>
        </is>
      </c>
      <c r="K54" s="23" t="inlineStr">
        <is>
          <t>Validé V4 (Canopée immersive)</t>
        </is>
      </c>
      <c r="L54" s="25" t="inlineStr">
        <is>
          <t>Non exécuté</t>
        </is>
      </c>
      <c r="M54" s="23" t="inlineStr">
        <is>
          <t>Guichet &amp; sécurité</t>
        </is>
      </c>
      <c r="N54" s="23" t="inlineStr">
        <is>
          <t>L.7434 / 4958</t>
        </is>
      </c>
      <c r="O54" s="26" t="inlineStr"/>
    </row>
    <row r="55" ht="94" customHeight="1">
      <c r="A55" s="27" t="inlineStr">
        <is>
          <t>AGT-02</t>
        </is>
      </c>
      <c r="B55" s="28" t="inlineStr">
        <is>
          <t>Agent / caisse</t>
        </is>
      </c>
      <c r="C55" s="28" t="inlineStr">
        <is>
          <t>Tableau de bord guichet du jour</t>
        </is>
      </c>
      <c r="D55" s="28" t="inlineStr">
        <is>
          <t>Dashboard guichet, ventes, fréquentation, alertes</t>
        </is>
      </c>
      <c r="E55" s="28" t="inlineStr">
        <is>
          <t>Tableau de bord agent et compteurs de session prévus. Pas de sec-AGT-02 autonome : contenu regroupé ou écran seulement répertorié.</t>
        </is>
      </c>
      <c r="F55" s="28" t="inlineStr">
        <is>
          <t>Validation statique uniquement : pas de test navigateur/backend.</t>
        </is>
      </c>
      <c r="G55" s="28" t="inlineStr">
        <is>
          <t>Rafraîchir données serveur, signaler mode hors-ligne et date de synchronisation.</t>
        </is>
      </c>
      <c r="H55" s="28" t="inlineStr">
        <is>
          <t>Enregistrer vente depuis autre poste puis comparer compteurs.</t>
        </is>
      </c>
      <c r="I55" s="28" t="inlineStr">
        <is>
          <t>Écart = 0 entre registres de caisse/guichet sur période identique.</t>
        </is>
      </c>
      <c r="J55" s="31" t="inlineStr">
        <is>
          <t>P0</t>
        </is>
      </c>
      <c r="K55" s="28" t="inlineStr">
        <is>
          <t>Validé V4 (Canopée immersive)</t>
        </is>
      </c>
      <c r="L55" s="25" t="inlineStr">
        <is>
          <t>Non exécuté</t>
        </is>
      </c>
      <c r="M55" s="28" t="inlineStr">
        <is>
          <t>Guichet &amp; sécurité</t>
        </is>
      </c>
      <c r="N55" s="28" t="inlineStr">
        <is>
          <t>L.7435 / 4958</t>
        </is>
      </c>
      <c r="O55" s="30" t="inlineStr"/>
    </row>
    <row r="56" ht="94" customHeight="1">
      <c r="A56" s="22" t="inlineStr">
        <is>
          <t>AGT-03</t>
        </is>
      </c>
      <c r="B56" s="23" t="inlineStr">
        <is>
          <t>Agent / caisse</t>
        </is>
      </c>
      <c r="C56" s="23" t="inlineStr">
        <is>
          <t>Vente rapide au guichet</t>
        </is>
      </c>
      <c r="D56" s="23" t="inlineStr">
        <is>
          <t>Catalogue guichet, quantités, total, annulation</t>
        </is>
      </c>
      <c r="E56" s="23" t="inlineStr">
        <is>
          <t>Vente rapide avec articles préchargés et quantités. Pas de sec-AGT-03 autonome : contenu regroupé ou écran seulement répertorié.</t>
        </is>
      </c>
      <c r="F56" s="23" t="inlineStr">
        <is>
          <t>Validation statique uniquement : pas de test navigateur/backend.</t>
        </is>
      </c>
      <c r="G56" s="23" t="inlineStr">
        <is>
          <t>Source tarifaire unique et contrôle de stock avant émission.</t>
        </is>
      </c>
      <c r="H56" s="23" t="inlineStr">
        <is>
          <t>Vendre 2 adultes + 1 enfant, supprimer ligne et changer quantité.</t>
        </is>
      </c>
      <c r="I56" s="23" t="inlineStr">
        <is>
          <t>Prix conformes PUB-10; total exact; jamais billet à 0 par erreur.</t>
        </is>
      </c>
      <c r="J56" s="31" t="inlineStr">
        <is>
          <t>P0</t>
        </is>
      </c>
      <c r="K56" s="23" t="inlineStr">
        <is>
          <t>Validé V4 (Canopée immersive)</t>
        </is>
      </c>
      <c r="L56" s="25" t="inlineStr">
        <is>
          <t>Non exécuté</t>
        </is>
      </c>
      <c r="M56" s="23" t="inlineStr">
        <is>
          <t>Guichet &amp; sécurité</t>
        </is>
      </c>
      <c r="N56" s="23" t="inlineStr">
        <is>
          <t>L.7436 / 4958</t>
        </is>
      </c>
      <c r="O56" s="26" t="inlineStr"/>
    </row>
    <row r="57" ht="94" customHeight="1">
      <c r="A57" s="27" t="inlineStr">
        <is>
          <t>AGT-04</t>
        </is>
      </c>
      <c r="B57" s="28" t="inlineStr">
        <is>
          <t>Agent / caisse</t>
        </is>
      </c>
      <c r="C57" s="28" t="inlineStr">
        <is>
          <t>Encaissement et émission de billet</t>
        </is>
      </c>
      <c r="D57" s="28" t="inlineStr">
        <is>
          <t>Encaissement espèces/MoMo, billet, reçu</t>
        </is>
      </c>
      <c r="E57" s="28" t="inlineStr">
        <is>
          <t>Parcours d’encaissement et émission de billet visible. Pas de sec-AGT-04 autonome : contenu regroupé ou écran seulement répertorié.</t>
        </is>
      </c>
      <c r="F57" s="28" t="inlineStr">
        <is>
          <t>Validation statique uniquement : pas de test navigateur/backend.</t>
        </is>
      </c>
      <c r="G57" s="28" t="inlineStr">
        <is>
          <t>Imposer confirmation transaction, montant reçu et identifiant caisse.</t>
        </is>
      </c>
      <c r="H57" s="28" t="inlineStr">
        <is>
          <t>Tester espèces insuffisantes, MoMo échoué, paiement double et reçu.</t>
        </is>
      </c>
      <c r="I57" s="28" t="inlineStr">
        <is>
          <t>Aucune émission avant règlement vérifié; trace caisse complète.</t>
        </is>
      </c>
      <c r="J57" s="31" t="inlineStr">
        <is>
          <t>P0</t>
        </is>
      </c>
      <c r="K57" s="28" t="inlineStr">
        <is>
          <t>Validé V4 (Canopée immersive)</t>
        </is>
      </c>
      <c r="L57" s="25" t="inlineStr">
        <is>
          <t>Non exécuté</t>
        </is>
      </c>
      <c r="M57" s="28" t="inlineStr">
        <is>
          <t>Guichet &amp; sécurité</t>
        </is>
      </c>
      <c r="N57" s="28" t="inlineStr">
        <is>
          <t>L.7437 / 4958</t>
        </is>
      </c>
      <c r="O57" s="30" t="inlineStr"/>
    </row>
    <row r="58" ht="94" customHeight="1">
      <c r="A58" s="22" t="inlineStr">
        <is>
          <t>AGT-05</t>
        </is>
      </c>
      <c r="B58" s="23" t="inlineStr">
        <is>
          <t>Agent / caisse</t>
        </is>
      </c>
      <c r="C58" s="23" t="inlineStr">
        <is>
          <t>Scan et vérification de billet QR</t>
        </is>
      </c>
      <c r="D58" s="23" t="inlineStr">
        <is>
          <t>Caméra scan QR, contrôle offline, file locale</t>
        </is>
      </c>
      <c r="E58" s="23" t="inlineStr">
        <is>
          <t>Fonction syncOfflineScans efface la file locale sans appel serveur visible. Pas de sec-AGT-05 autonome : contenu regroupé ou écran seulement répertorié.</t>
        </is>
      </c>
      <c r="F58" s="23" t="inlineStr">
        <is>
          <t>Anomalies associées : A-001</t>
        </is>
      </c>
      <c r="G58" s="23" t="inlineStr">
        <is>
          <t>Bloquer purge avant accusé serveur; ajouter idempotence et conflits.</t>
        </is>
      </c>
      <c r="H58" s="23" t="inlineStr">
        <is>
          <t>Scanner hors réseau, reconnecter, vérifier présence en base puis répéter sync.</t>
        </is>
      </c>
      <c r="I58" s="23" t="inlineStr">
        <is>
          <t>Aucun scan perdu, même après redémarrage; double scan rejeté.</t>
        </is>
      </c>
      <c r="J58" s="31" t="inlineStr">
        <is>
          <t>P0</t>
        </is>
      </c>
      <c r="K58" s="23" t="inlineStr">
        <is>
          <t>Validé V4 (Canopée immersive)</t>
        </is>
      </c>
      <c r="L58" s="25" t="inlineStr">
        <is>
          <t>Non exécuté</t>
        </is>
      </c>
      <c r="M58" s="23" t="inlineStr">
        <is>
          <t>Guichet &amp; sécurité</t>
        </is>
      </c>
      <c r="N58" s="23" t="inlineStr">
        <is>
          <t>L.7438 / 4958</t>
        </is>
      </c>
      <c r="O58" s="26" t="inlineStr"/>
    </row>
    <row r="59" ht="94" customHeight="1">
      <c r="A59" s="27" t="inlineStr">
        <is>
          <t>AGT-06</t>
        </is>
      </c>
      <c r="B59" s="28" t="inlineStr">
        <is>
          <t>Agent / caisse</t>
        </is>
      </c>
      <c r="C59" s="28" t="inlineStr">
        <is>
          <t>Résultats de contrôle : 7 verdicts (Valide, Déjà utilisé, Mauvaise date...)</t>
        </is>
      </c>
      <c r="D59" s="28" t="inlineStr">
        <is>
          <t>Sept états QR : valide, déjà utilisé, mauvaise date…</t>
        </is>
      </c>
      <c r="E59" s="28" t="inlineStr">
        <is>
          <t>Le prototype annonce sept verdicts et une simulation des réponses. Pas de sec-AGT-06 autonome : contenu regroupé ou écran seulement répertorié.</t>
        </is>
      </c>
      <c r="F59" s="28" t="inlineStr">
        <is>
          <t>Anomalies associées : A-001, A-008</t>
        </is>
      </c>
      <c r="G59" s="28" t="inlineStr">
        <is>
          <t>Faire calculer verdict par serveur/validateur signé, pas client seul.</t>
        </is>
      </c>
      <c r="H59" s="28" t="inlineStr">
        <is>
          <t>Injecter QR périmé, déjà utilisé, fausse signature, mauvaise date.</t>
        </is>
      </c>
      <c r="I59" s="28" t="inlineStr">
        <is>
          <t>Verdict correct dans 7/7 cas; refus côté serveur traçable.</t>
        </is>
      </c>
      <c r="J59" s="31" t="inlineStr">
        <is>
          <t>P0</t>
        </is>
      </c>
      <c r="K59" s="28" t="inlineStr">
        <is>
          <t>Validé V4 (Canopée immersive)</t>
        </is>
      </c>
      <c r="L59" s="25" t="inlineStr">
        <is>
          <t>Non exécuté</t>
        </is>
      </c>
      <c r="M59" s="28" t="inlineStr">
        <is>
          <t>Guichet &amp; sécurité</t>
        </is>
      </c>
      <c r="N59" s="28" t="inlineStr">
        <is>
          <t>L.7439 / 4958</t>
        </is>
      </c>
      <c r="O59" s="30" t="inlineStr"/>
    </row>
    <row r="60" ht="94" customHeight="1">
      <c r="A60" s="22" t="inlineStr">
        <is>
          <t>AGT-07</t>
        </is>
      </c>
      <c r="B60" s="23" t="inlineStr">
        <is>
          <t>Agent / caisse</t>
        </is>
      </c>
      <c r="C60" s="23" t="inlineStr">
        <is>
          <t>Recherche manuelle par nom, téléphone ou référence</t>
        </is>
      </c>
      <c r="D60" s="23" t="inlineStr">
        <is>
          <t>Recherche manuelle par nom, téléphone, référence</t>
        </is>
      </c>
      <c r="E60" s="23" t="inlineStr">
        <is>
          <t>Recherche de secours en zone agent. Pas de sec-AGT-07 autonome : contenu regroupé ou écran seulement répertorié.</t>
        </is>
      </c>
      <c r="F60" s="23" t="inlineStr">
        <is>
          <t>Validation statique uniquement : pas de test navigateur/backend.</t>
        </is>
      </c>
      <c r="G60" s="23" t="inlineStr">
        <is>
          <t>Limiter la recherche au personnel, masquer données et tracer consultation.</t>
        </is>
      </c>
      <c r="H60" s="23" t="inlineStr">
        <is>
          <t>Chercher référence inexistante et homonymes; tester rôle non habilité.</t>
        </is>
      </c>
      <c r="I60" s="23" t="inlineStr">
        <is>
          <t>Aucune divulgation aux profils non autorisés; résultats désambiguïsés.</t>
        </is>
      </c>
      <c r="J60" s="31" t="inlineStr">
        <is>
          <t>P0</t>
        </is>
      </c>
      <c r="K60" s="23" t="inlineStr">
        <is>
          <t>Validé V4 (Canopée immersive)</t>
        </is>
      </c>
      <c r="L60" s="25" t="inlineStr">
        <is>
          <t>Non exécuté</t>
        </is>
      </c>
      <c r="M60" s="23" t="inlineStr">
        <is>
          <t>Guichet &amp; sécurité</t>
        </is>
      </c>
      <c r="N60" s="23" t="inlineStr">
        <is>
          <t>L.7440 / 4958</t>
        </is>
      </c>
      <c r="O60" s="26" t="inlineStr"/>
    </row>
    <row r="61" ht="94" customHeight="1">
      <c r="A61" s="27" t="inlineStr">
        <is>
          <t>AGT-08</t>
        </is>
      </c>
      <c r="B61" s="28" t="inlineStr">
        <is>
          <t>Agent / caisse</t>
        </is>
      </c>
      <c r="C61" s="28" t="inlineStr">
        <is>
          <t>Journal des ventes et entrées de la session</t>
        </is>
      </c>
      <c r="D61" s="28" t="inlineStr">
        <is>
          <t>Journal ventes/entrées, filtres, export</t>
        </is>
      </c>
      <c r="E61" s="28" t="inlineStr">
        <is>
          <t>Journal de session prévu avec interventions en local. Pas de sec-AGT-08 autonome : contenu regroupé ou écran seulement répertorié.</t>
        </is>
      </c>
      <c r="F61" s="28" t="inlineStr">
        <is>
          <t>Anomalies associées : A-023</t>
        </is>
      </c>
      <c r="G61" s="28" t="inlineStr">
        <is>
          <t>Garantir journal append-only côté serveur et export horodaté.</t>
        </is>
      </c>
      <c r="H61" s="28" t="inlineStr">
        <is>
          <t>Comparer 3 ventes, annulation et 2 scans dans journal.</t>
        </is>
      </c>
      <c r="I61" s="28" t="inlineStr">
        <is>
          <t>Chaque opération une fois, auteur/horodatage et montant cohérents.</t>
        </is>
      </c>
      <c r="J61" s="31" t="inlineStr">
        <is>
          <t>P0</t>
        </is>
      </c>
      <c r="K61" s="28" t="inlineStr">
        <is>
          <t>Validé V4 (Canopée immersive)</t>
        </is>
      </c>
      <c r="L61" s="25" t="inlineStr">
        <is>
          <t>Non exécuté</t>
        </is>
      </c>
      <c r="M61" s="28" t="inlineStr">
        <is>
          <t>Guichet &amp; sécurité</t>
        </is>
      </c>
      <c r="N61" s="28" t="inlineStr">
        <is>
          <t>L.7441 / 4958</t>
        </is>
      </c>
      <c r="O61" s="30" t="inlineStr"/>
    </row>
    <row r="62" ht="94" customHeight="1">
      <c r="A62" s="22" t="inlineStr">
        <is>
          <t>AGT-09</t>
        </is>
      </c>
      <c r="B62" s="23" t="inlineStr">
        <is>
          <t>Agent / caisse</t>
        </is>
      </c>
      <c r="C62" s="23" t="inlineStr">
        <is>
          <t>Clôture de caisse et écarts</t>
        </is>
      </c>
      <c r="D62" s="23" t="inlineStr">
        <is>
          <t>Clôture contradictoire, décompte billets, écarts, PV</t>
        </is>
      </c>
      <c r="E62" s="23" t="inlineStr">
        <is>
          <t>Fonction resetPhysicalCashCount charge des valeurs espèces prédéfinies et clôture localement. Pas de sec-AGT-09 autonome : contenu regroupé ou écran seulement répertorié.</t>
        </is>
      </c>
      <c r="F62" s="23" t="inlineStr">
        <is>
          <t>Anomalies associées : A-017</t>
        </is>
      </c>
      <c r="G62" s="23" t="inlineStr">
        <is>
          <t>Démarrer comptage à zéro; signature contradictoire; verrouiller post-clôture.</t>
        </is>
      </c>
      <c r="H62" s="23" t="inlineStr">
        <is>
          <t>Clôturer sans saisie, avec écart 2 001 FCFA et avec caisse équilibrée.</t>
        </is>
      </c>
      <c r="I62" s="23" t="inlineStr">
        <is>
          <t>Pas de caisse « conforme » par défaut; anomalie &gt; seuil bloque validation ordinaire.</t>
        </is>
      </c>
      <c r="J62" s="31" t="inlineStr">
        <is>
          <t>P0</t>
        </is>
      </c>
      <c r="K62" s="23" t="inlineStr">
        <is>
          <t>Validé V4 (Canopée immersive)</t>
        </is>
      </c>
      <c r="L62" s="25" t="inlineStr">
        <is>
          <t>Non exécuté</t>
        </is>
      </c>
      <c r="M62" s="23" t="inlineStr">
        <is>
          <t>Guichet &amp; sécurité</t>
        </is>
      </c>
      <c r="N62" s="23" t="inlineStr">
        <is>
          <t>L.7442 / 4958</t>
        </is>
      </c>
      <c r="O62" s="26" t="inlineStr"/>
    </row>
    <row r="63" ht="94" customHeight="1">
      <c r="A63" s="27" t="inlineStr">
        <is>
          <t>EXP-01</t>
        </is>
      </c>
      <c r="B63" s="28" t="inlineStr">
        <is>
          <t>Exploitation</t>
        </is>
      </c>
      <c r="C63" s="28" t="inlineStr">
        <is>
          <t>Vue d'exploitation quotidienne</t>
        </is>
      </c>
      <c r="D63" s="28" t="inlineStr">
        <is>
          <t>Synthèse activité du jour, urgences, capacités, ventes</t>
        </is>
      </c>
      <c r="E63" s="28" t="inlineStr">
        <is>
          <t>Dashboard exploitation et métriques synchronisés avec stockage de démo. Pas de sec-EXP-01 autonome : contenu regroupé ou écran seulement répertorié.</t>
        </is>
      </c>
      <c r="F63" s="28" t="inlineStr">
        <is>
          <t>Validation statique uniquement : pas de test navigateur/backend.</t>
        </is>
      </c>
      <c r="G63" s="28" t="inlineStr">
        <is>
          <t>Distinguer données live/échantillon, privilégier alertes opérationnelles.</t>
        </is>
      </c>
      <c r="H63" s="28" t="inlineStr">
        <is>
          <t>Modifier une réservation et actualiser dashboard EXP.</t>
        </is>
      </c>
      <c r="I63" s="28" t="inlineStr">
        <is>
          <t>Indicateurs recalculés avec date de synchronisation; aucune donnée démo en prod.</t>
        </is>
      </c>
      <c r="J63" s="31" t="inlineStr">
        <is>
          <t>P0</t>
        </is>
      </c>
      <c r="K63" s="28" t="inlineStr">
        <is>
          <t>Validé V4 (Canopée immersive)</t>
        </is>
      </c>
      <c r="L63" s="25" t="inlineStr">
        <is>
          <t>Non exécuté</t>
        </is>
      </c>
      <c r="M63" s="28" t="inlineStr">
        <is>
          <t>Exploitation &amp; backend</t>
        </is>
      </c>
      <c r="N63" s="28" t="inlineStr">
        <is>
          <t>L.7444 / 5212</t>
        </is>
      </c>
      <c r="O63" s="30" t="inlineStr"/>
    </row>
    <row r="64" ht="94" customHeight="1">
      <c r="A64" s="22" t="inlineStr">
        <is>
          <t>EXP-02</t>
        </is>
      </c>
      <c r="B64" s="23" t="inlineStr">
        <is>
          <t>Exploitation</t>
        </is>
      </c>
      <c r="C64" s="23" t="inlineStr">
        <is>
          <t>Gestion des réservations et calendrier de capacité</t>
        </is>
      </c>
      <c r="D64" s="23" t="inlineStr">
        <is>
          <t>Calendrier réservations, jauges, conflits</t>
        </is>
      </c>
      <c r="E64" s="23" t="inlineStr">
        <is>
          <t>Calcul de capacité getLiveInventoryForDate dérive plusieurs stocks de valeurs locales. Pas de sec-EXP-02 autonome : contenu regroupé ou écran seulement répertorié.</t>
        </is>
      </c>
      <c r="F64" s="23" t="inlineStr">
        <is>
          <t>Anomalies associées : A-004, A-016</t>
        </is>
      </c>
      <c r="G64" s="23" t="inlineStr">
        <is>
          <t>Utiliser réservation atomique en base et jauge par ressource/date.</t>
        </is>
      </c>
      <c r="H64" s="23" t="inlineStr">
        <is>
          <t>Réserver simultanément dernière place sur deux appareils.</t>
        </is>
      </c>
      <c r="I64" s="23" t="inlineStr">
        <is>
          <t>Une seule réservation confirmée; jamais de surbooking.</t>
        </is>
      </c>
      <c r="J64" s="31" t="inlineStr">
        <is>
          <t>P0</t>
        </is>
      </c>
      <c r="K64" s="23" t="inlineStr">
        <is>
          <t>Validé V4 (Canopée immersive)</t>
        </is>
      </c>
      <c r="L64" s="25" t="inlineStr">
        <is>
          <t>Non exécuté</t>
        </is>
      </c>
      <c r="M64" s="23" t="inlineStr">
        <is>
          <t>Exploitation &amp; backend</t>
        </is>
      </c>
      <c r="N64" s="23" t="inlineStr">
        <is>
          <t>L.7445 / 5212</t>
        </is>
      </c>
      <c r="O64" s="26" t="inlineStr"/>
    </row>
    <row r="65" ht="94" customHeight="1">
      <c r="A65" s="27" t="inlineStr">
        <is>
          <t>EXP-03</t>
        </is>
      </c>
      <c r="B65" s="28" t="inlineStr">
        <is>
          <t>Exploitation</t>
        </is>
      </c>
      <c r="C65" s="28" t="inlineStr">
        <is>
          <t>Gestion des demandes de devis groupes et événements</t>
        </is>
      </c>
      <c r="D65" s="28" t="inlineStr">
        <is>
          <t>Devis groupe, suivi, capacité salle/navettes</t>
        </is>
      </c>
      <c r="E65" s="28" t="inlineStr">
        <is>
          <t>Devis stockés et « hallBusy » dérivé de types de devis dans stockage local. Pas de sec-EXP-03 autonome : contenu regroupé ou écran seulement répertorié.</t>
        </is>
      </c>
      <c r="F65" s="28" t="inlineStr">
        <is>
          <t>Validation statique uniquement : pas de test navigateur/backend.</t>
        </is>
      </c>
      <c r="G65" s="28" t="inlineStr">
        <is>
          <t>Séparer demande, option bloquée et réservation confirmée.</t>
        </is>
      </c>
      <c r="H65" s="28" t="inlineStr">
        <is>
          <t>Créer deux demandes de salle même jour avec conflit et option.</t>
        </is>
      </c>
      <c r="I65" s="28" t="inlineStr">
        <is>
          <t>Aucune date réellement bloquée par simple demande non acceptée.</t>
        </is>
      </c>
      <c r="J65" s="31" t="inlineStr">
        <is>
          <t>P0</t>
        </is>
      </c>
      <c r="K65" s="28" t="inlineStr">
        <is>
          <t>Validé V4 (Canopée immersive)</t>
        </is>
      </c>
      <c r="L65" s="25" t="inlineStr">
        <is>
          <t>Non exécuté</t>
        </is>
      </c>
      <c r="M65" s="28" t="inlineStr">
        <is>
          <t>Exploitation &amp; backend</t>
        </is>
      </c>
      <c r="N65" s="28" t="inlineStr">
        <is>
          <t>L.7446 / 5212</t>
        </is>
      </c>
      <c r="O65" s="30" t="inlineStr"/>
    </row>
    <row r="66" ht="94" customHeight="1">
      <c r="A66" s="22" t="inlineStr">
        <is>
          <t>EXP-04</t>
        </is>
      </c>
      <c r="B66" s="23" t="inlineStr">
        <is>
          <t>Exploitation</t>
        </is>
      </c>
      <c r="C66" s="23" t="inlineStr">
        <is>
          <t>Gestion des hébergements et disponibilités (Loges Ewondo/Chanthel/Bene)</t>
        </is>
      </c>
      <c r="D66" s="23" t="inlineStr">
        <is>
          <t>Calendrier et stock chambres Ewondo/Chanthel/Bene</t>
        </is>
      </c>
      <c r="E66" s="23" t="inlineStr">
        <is>
          <t>Disponibilités de cités affichées; logique 2 chambres Bene ajoutées selon jour de semaine. Pas de sec-EXP-04 autonome : contenu regroupé ou écran seulement répertorié.</t>
        </is>
      </c>
      <c r="F66" s="23" t="inlineStr">
        <is>
          <t>Anomalies associées : A-004</t>
        </is>
      </c>
      <c r="G66" s="23" t="inlineStr">
        <is>
          <t>Gérer inventaire par chambre et par nuit avec maintenance/indisponibilité.</t>
        </is>
      </c>
      <c r="H66" s="23" t="inlineStr">
        <is>
          <t>Réserver une chambre sur dates chevauchantes, puis annuler.</t>
        </is>
      </c>
      <c r="I66" s="23" t="inlineStr">
        <is>
          <t>Occupation jamais supérieure au stock réel; libération dans tous canaux.</t>
        </is>
      </c>
      <c r="J66" s="31" t="inlineStr">
        <is>
          <t>P0</t>
        </is>
      </c>
      <c r="K66" s="23" t="inlineStr">
        <is>
          <t>Validé V4 (Canopée immersive)</t>
        </is>
      </c>
      <c r="L66" s="25" t="inlineStr">
        <is>
          <t>Non exécuté</t>
        </is>
      </c>
      <c r="M66" s="23" t="inlineStr">
        <is>
          <t>Exploitation &amp; backend</t>
        </is>
      </c>
      <c r="N66" s="23" t="inlineStr">
        <is>
          <t>L.7447 / 5212</t>
        </is>
      </c>
      <c r="O66" s="26" t="inlineStr"/>
    </row>
    <row r="67" ht="94" customHeight="1">
      <c r="A67" s="27" t="inlineStr">
        <is>
          <t>EXP-05</t>
        </is>
      </c>
      <c r="B67" s="28" t="inlineStr">
        <is>
          <t>Exploitation</t>
        </is>
      </c>
      <c r="C67" s="28" t="inlineStr">
        <is>
          <t>Gestion des réservations restauration et espaces</t>
        </is>
      </c>
      <c r="D67" s="28" t="inlineStr">
        <is>
          <t>Réservations restaurants/espaces, capacité, horaires</t>
        </is>
      </c>
      <c r="E67" s="28" t="inlineStr">
        <is>
          <t>Réservations restauration et pergola présentes; inventaire mixte. Pas de sec-EXP-05 autonome : contenu regroupé ou écran seulement répertorié.</t>
        </is>
      </c>
      <c r="F67" s="28" t="inlineStr">
        <is>
          <t>Anomalies associées : A-014</t>
        </is>
      </c>
      <c r="G67" s="28" t="inlineStr">
        <is>
          <t>Unifier créneaux et ressources, précommandes et conditions météo.</t>
        </is>
      </c>
      <c r="H67" s="28" t="inlineStr">
        <is>
          <t>Réserver 2 pergolas sur dernière disponibilité et menu sans prix.</t>
        </is>
      </c>
      <c r="I67" s="28" t="inlineStr">
        <is>
          <t>Quotas atomiques; précommandes non payables sans prix valide.</t>
        </is>
      </c>
      <c r="J67" s="31" t="inlineStr">
        <is>
          <t>P0</t>
        </is>
      </c>
      <c r="K67" s="28" t="inlineStr">
        <is>
          <t>Validé V4 (Canopée immersive)</t>
        </is>
      </c>
      <c r="L67" s="25" t="inlineStr">
        <is>
          <t>Non exécuté</t>
        </is>
      </c>
      <c r="M67" s="28" t="inlineStr">
        <is>
          <t>Exploitation &amp; backend</t>
        </is>
      </c>
      <c r="N67" s="28" t="inlineStr">
        <is>
          <t>L.7448 / 5212</t>
        </is>
      </c>
      <c r="O67" s="30" t="inlineStr"/>
    </row>
    <row r="68" ht="94" customHeight="1">
      <c r="A68" s="22" t="inlineStr">
        <is>
          <t>EXP-06</t>
        </is>
      </c>
      <c r="B68" s="23" t="inlineStr">
        <is>
          <t>Exploitation</t>
        </is>
      </c>
      <c r="C68" s="23" t="inlineStr">
        <is>
          <t>Gestion des candidatures de formation (CFP ECOPARK)</t>
        </is>
      </c>
      <c r="D68" s="23" t="inlineStr">
        <is>
          <t>Candidatures CFP, suivi, pièces, statuts</t>
        </is>
      </c>
      <c r="E68" s="23" t="inlineStr">
        <is>
          <t>Console candidatures mentionnée; dossier requiert données personnelles. Pas de sec-EXP-06 autonome : contenu regroupé ou écran seulement répertorié.</t>
        </is>
      </c>
      <c r="F68" s="23" t="inlineStr">
        <is>
          <t>Validation statique uniquement : pas de test navigateur/backend.</t>
        </is>
      </c>
      <c r="G68" s="23" t="inlineStr">
        <is>
          <t>Statuts normalisés, accès limité, durée conservation et réponse.</t>
        </is>
      </c>
      <c r="H68" s="23" t="inlineStr">
        <is>
          <t>Soumettre candidature puis changer statut et consulter côté candidat.</t>
        </is>
      </c>
      <c r="I68" s="23" t="inlineStr">
        <is>
          <t>Candidature rattachée à bonne personne, historisée et protégée.</t>
        </is>
      </c>
      <c r="J68" s="29" t="inlineStr">
        <is>
          <t>P1</t>
        </is>
      </c>
      <c r="K68" s="23" t="inlineStr">
        <is>
          <t>Validé V4 (Canopée immersive)</t>
        </is>
      </c>
      <c r="L68" s="25" t="inlineStr">
        <is>
          <t>Non exécuté</t>
        </is>
      </c>
      <c r="M68" s="23" t="inlineStr">
        <is>
          <t>Exploitation &amp; backend</t>
        </is>
      </c>
      <c r="N68" s="23" t="inlineStr">
        <is>
          <t>L.7449 / 5212</t>
        </is>
      </c>
      <c r="O68" s="26" t="inlineStr"/>
    </row>
    <row r="69" ht="94" customHeight="1">
      <c r="A69" s="27" t="inlineStr">
        <is>
          <t>EXP-07</t>
        </is>
      </c>
      <c r="B69" s="28" t="inlineStr">
        <is>
          <t>Exploitation</t>
        </is>
      </c>
      <c r="C69" s="28" t="inlineStr">
        <is>
          <t>Centre de messages, réclamations et demandes de contact</t>
        </is>
      </c>
      <c r="D69" s="28" t="inlineStr">
        <is>
          <t>Centre messages, WhatsApp, réclamations, demandes</t>
        </is>
      </c>
      <c r="E69" s="28" t="inlineStr">
        <is>
          <t>Console « Closing WhatsApp en 1 clic » prévue avec parcours leads. Ancre autonome sec-EXP-07 présente.</t>
        </is>
      </c>
      <c r="F69" s="28" t="inlineStr">
        <is>
          <t>Validation statique uniquement : pas de test navigateur/backend.</t>
        </is>
      </c>
      <c r="G69" s="28" t="inlineStr">
        <is>
          <t>Créer omnicanalité sans fausse confirmation d’envoi; historiser accord/contact.</t>
        </is>
      </c>
      <c r="H69" s="28" t="inlineStr">
        <is>
          <t>Recevoir demande, assigner agent, répondre puis vérifier historique.</t>
        </is>
      </c>
      <c r="I69" s="28" t="inlineStr">
        <is>
          <t>Une demande = un dossier traçable; statut non changé sans action réelle.</t>
        </is>
      </c>
      <c r="J69" s="29" t="inlineStr">
        <is>
          <t>P1</t>
        </is>
      </c>
      <c r="K69" s="28" t="inlineStr">
        <is>
          <t>Validé V4 (Canopée immersive)</t>
        </is>
      </c>
      <c r="L69" s="25" t="inlineStr">
        <is>
          <t>Non exécuté</t>
        </is>
      </c>
      <c r="M69" s="28" t="inlineStr">
        <is>
          <t>Exploitation &amp; backend</t>
        </is>
      </c>
      <c r="N69" s="28" t="inlineStr">
        <is>
          <t>L.5261 / 7450</t>
        </is>
      </c>
      <c r="O69" s="30" t="inlineStr"/>
    </row>
    <row r="70" ht="94" customHeight="1">
      <c r="A70" s="22" t="inlineStr">
        <is>
          <t>DIR-01</t>
        </is>
      </c>
      <c r="B70" s="23" t="inlineStr">
        <is>
          <t>Direction</t>
        </is>
      </c>
      <c r="C70" s="23" t="inlineStr">
        <is>
          <t>Tableau de bord direction</t>
        </is>
      </c>
      <c r="D70" s="23" t="inlineStr">
        <is>
          <t>KPIs consolidés CA, réservations, fréquentation</t>
        </is>
      </c>
      <c r="E70" s="23" t="inlineStr">
        <is>
          <t>Dashboard DIR avec cartes de performance; valeurs de démonstration possibles. Pas de sec-DIR-01 autonome : contenu regroupé ou écran seulement répertorié.</t>
        </is>
      </c>
      <c r="F70" s="23" t="inlineStr">
        <is>
          <t>Validation statique uniquement : pas de test navigateur/backend.</t>
        </is>
      </c>
      <c r="G70" s="23" t="inlineStr">
        <is>
          <t>Afficher période, source, taux de mise à jour et séparation devis/encaissé.</t>
        </is>
      </c>
      <c r="H70" s="23" t="inlineStr">
        <is>
          <t>Comparer KPI jour/mois avec transactions validées sur base.</t>
        </is>
      </c>
      <c r="I70" s="23" t="inlineStr">
        <is>
          <t>Écart entre reporting et journal validé = 0 pour échantillon de recette.</t>
        </is>
      </c>
      <c r="J70" s="29" t="inlineStr">
        <is>
          <t>P1</t>
        </is>
      </c>
      <c r="K70" s="23" t="inlineStr">
        <is>
          <t>Validé V4 (Canopée immersive)</t>
        </is>
      </c>
      <c r="L70" s="25" t="inlineStr">
        <is>
          <t>Non exécuté</t>
        </is>
      </c>
      <c r="M70" s="23" t="inlineStr">
        <is>
          <t>Direction &amp; data</t>
        </is>
      </c>
      <c r="N70" s="23" t="inlineStr">
        <is>
          <t>L.7452 / 5420</t>
        </is>
      </c>
      <c r="O70" s="26" t="inlineStr"/>
    </row>
    <row r="71" ht="94" customHeight="1">
      <c r="A71" s="27" t="inlineStr">
        <is>
          <t>DIR-02</t>
        </is>
      </c>
      <c r="B71" s="28" t="inlineStr">
        <is>
          <t>Direction</t>
        </is>
      </c>
      <c r="C71" s="28" t="inlineStr">
        <is>
          <t>Suivi des recettes, réservations et ventes par canal</t>
        </is>
      </c>
      <c r="D71" s="28" t="inlineStr">
        <is>
          <t>Ventes par canal, revenus, remboursements</t>
        </is>
      </c>
      <c r="E71" s="28" t="inlineStr">
        <is>
          <t>Répartition des recettes et Mobile Money prévue; remboursement local retranche métriques. Pas de sec-DIR-02 autonome : contenu regroupé ou écran seulement répertorié.</t>
        </is>
      </c>
      <c r="F71" s="28" t="inlineStr">
        <is>
          <t>Anomalies associées : A-002</t>
        </is>
      </c>
      <c r="G71" s="28" t="inlineStr">
        <is>
          <t>Comptabiliser transactions réelles et remboursements PSP confirmés.</t>
        </is>
      </c>
      <c r="H71" s="28" t="inlineStr">
        <is>
          <t>Passer paiement, paiement annulé, remboursement et comparer exports.</t>
        </is>
      </c>
      <c r="I71" s="28" t="inlineStr">
        <is>
          <t>Revenu net = encaissements confirmés moins remboursements confirmés.</t>
        </is>
      </c>
      <c r="J71" s="31" t="inlineStr">
        <is>
          <t>P0</t>
        </is>
      </c>
      <c r="K71" s="28" t="inlineStr">
        <is>
          <t>Validé V4 (Canopée immersive)</t>
        </is>
      </c>
      <c r="L71" s="25" t="inlineStr">
        <is>
          <t>Non exécuté</t>
        </is>
      </c>
      <c r="M71" s="28" t="inlineStr">
        <is>
          <t>Direction &amp; data</t>
        </is>
      </c>
      <c r="N71" s="28" t="inlineStr">
        <is>
          <t>L.7453 / 5420</t>
        </is>
      </c>
      <c r="O71" s="30" t="inlineStr"/>
    </row>
    <row r="72" ht="94" customHeight="1">
      <c r="A72" s="22" t="inlineStr">
        <is>
          <t>DIR-03</t>
        </is>
      </c>
      <c r="B72" s="23" t="inlineStr">
        <is>
          <t>Direction</t>
        </is>
      </c>
      <c r="C72" s="23" t="inlineStr">
        <is>
          <t>Fréquentation par activité, période et segment</t>
        </is>
      </c>
      <c r="D72" s="23" t="inlineStr">
        <is>
          <t>Fréquentation par période, activité et segment</t>
        </is>
      </c>
      <c r="E72" s="23" t="inlineStr">
        <is>
          <t>Statistiques de fréquentation présentes, sources à contrôler. Pas de sec-DIR-03 autonome : contenu regroupé ou écran seulement répertorié.</t>
        </is>
      </c>
      <c r="F72" s="23" t="inlineStr">
        <is>
          <t>Validation statique uniquement : pas de test navigateur/backend.</t>
        </is>
      </c>
      <c r="G72" s="23" t="inlineStr">
        <is>
          <t>Distinguer billets vendus, présences scannées et retours visiteurs.</t>
        </is>
      </c>
      <c r="H72" s="23" t="inlineStr">
        <is>
          <t>Comparer 5 billets vendus, 3 scans et 1 annulation.</t>
        </is>
      </c>
      <c r="I72" s="23" t="inlineStr">
        <is>
          <t>Présences = 3 et ventes nettes correctement calculées; définition KPI écrite.</t>
        </is>
      </c>
      <c r="J72" s="29" t="inlineStr">
        <is>
          <t>P1</t>
        </is>
      </c>
      <c r="K72" s="23" t="inlineStr">
        <is>
          <t>Validé V4 (Canopée immersive)</t>
        </is>
      </c>
      <c r="L72" s="25" t="inlineStr">
        <is>
          <t>Non exécuté</t>
        </is>
      </c>
      <c r="M72" s="23" t="inlineStr">
        <is>
          <t>Direction &amp; data</t>
        </is>
      </c>
      <c r="N72" s="23" t="inlineStr">
        <is>
          <t>L.7454 / 5420</t>
        </is>
      </c>
      <c r="O72" s="26" t="inlineStr"/>
    </row>
    <row r="73" ht="94" customHeight="1">
      <c r="A73" s="27" t="inlineStr">
        <is>
          <t>DIR-04</t>
        </is>
      </c>
      <c r="B73" s="28" t="inlineStr">
        <is>
          <t>Direction</t>
        </is>
      </c>
      <c r="C73" s="28" t="inlineStr">
        <is>
          <t>Taux d'occupation hébergement et performance des offres groupes</t>
        </is>
      </c>
      <c r="D73" s="28" t="inlineStr">
        <is>
          <t>Occupation hôtels, groupes, taux et tendances</t>
        </is>
      </c>
      <c r="E73" s="28" t="inlineStr">
        <is>
          <t>Indicateurs d’occupation et offre groupe dans le tableau DIR. Pas de sec-DIR-04 autonome : contenu regroupé ou écran seulement répertorié.</t>
        </is>
      </c>
      <c r="F73" s="28" t="inlineStr">
        <is>
          <t>Validation statique uniquement : pas de test navigateur/backend.</t>
        </is>
      </c>
      <c r="G73" s="28" t="inlineStr">
        <is>
          <t>Calculer le taux sur chambres réellement ouvertes et nuitées.</t>
        </is>
      </c>
      <c r="H73" s="28" t="inlineStr">
        <is>
          <t>Réserver 2 nuits, fermer chambre 1 nuit, contrôler taux.</t>
        </is>
      </c>
      <c r="I73" s="28" t="inlineStr">
        <is>
          <t>Dénominateur explicite; aucune occupation supérieure à 100 %.</t>
        </is>
      </c>
      <c r="J73" s="29" t="inlineStr">
        <is>
          <t>P1</t>
        </is>
      </c>
      <c r="K73" s="28" t="inlineStr">
        <is>
          <t>Validé V4 (Canopée immersive)</t>
        </is>
      </c>
      <c r="L73" s="25" t="inlineStr">
        <is>
          <t>Non exécuté</t>
        </is>
      </c>
      <c r="M73" s="28" t="inlineStr">
        <is>
          <t>Direction &amp; data</t>
        </is>
      </c>
      <c r="N73" s="28" t="inlineStr">
        <is>
          <t>L.7455 / 5420</t>
        </is>
      </c>
      <c r="O73" s="30" t="inlineStr"/>
    </row>
    <row r="74" ht="94" customHeight="1">
      <c r="A74" s="22" t="inlineStr">
        <is>
          <t>DIR-05</t>
        </is>
      </c>
      <c r="B74" s="23" t="inlineStr">
        <is>
          <t>Direction</t>
        </is>
      </c>
      <c r="C74" s="23" t="inlineStr">
        <is>
          <t>Rapports et exports</t>
        </is>
      </c>
      <c r="D74" s="23" t="inlineStr">
        <is>
          <t>Rapports filtrables, export CSV/PDF</t>
        </is>
      </c>
      <c r="E74" s="23" t="inlineStr">
        <is>
          <t>Écran rapport et export annoncé; exactitude non testée. Pas de sec-DIR-05 autonome : contenu regroupé ou écran seulement répertorié.</t>
        </is>
      </c>
      <c r="F74" s="23" t="inlineStr">
        <is>
          <t>Validation statique uniquement : pas de test navigateur/backend.</t>
        </is>
      </c>
      <c r="G74" s="23" t="inlineStr">
        <is>
          <t>Exporter période/filtre actifs avec traçabilité et masquage PIIs.</t>
        </is>
      </c>
      <c r="H74" s="23" t="inlineStr">
        <is>
          <t>Exporter plage 1–15 et comparer totaux affichés/export.</t>
        </is>
      </c>
      <c r="I74" s="23" t="inlineStr">
        <is>
          <t>Totaux identiques; exports protégés et datés; aucune donnée tierce inutile.</t>
        </is>
      </c>
      <c r="J74" s="29" t="inlineStr">
        <is>
          <t>P1</t>
        </is>
      </c>
      <c r="K74" s="23" t="inlineStr">
        <is>
          <t>Validé V4 (Canopée immersive)</t>
        </is>
      </c>
      <c r="L74" s="25" t="inlineStr">
        <is>
          <t>Non exécuté</t>
        </is>
      </c>
      <c r="M74" s="23" t="inlineStr">
        <is>
          <t>Direction &amp; data</t>
        </is>
      </c>
      <c r="N74" s="23" t="inlineStr">
        <is>
          <t>L.7456 / 5420</t>
        </is>
      </c>
      <c r="O74" s="26" t="inlineStr"/>
    </row>
    <row r="75" ht="94" customHeight="1">
      <c r="A75" s="27" t="inlineStr">
        <is>
          <t>ADM-01</t>
        </is>
      </c>
      <c r="B75" s="28" t="inlineStr">
        <is>
          <t>Administration</t>
        </is>
      </c>
      <c r="C75" s="28" t="inlineStr">
        <is>
          <t>Catalogue des activités, offres et formules</t>
        </is>
      </c>
      <c r="D75" s="28" t="inlineStr">
        <is>
          <t>CRUD offres, média, publication, duplication, archive</t>
        </is>
      </c>
      <c r="E75" s="28" t="inlineStr">
        <is>
          <t>Console catalogue éditable et images prévues; source snapshot embarquée. Ancre autonome sec-ADM-01 présente.</t>
        </is>
      </c>
      <c r="F75" s="28" t="inlineStr">
        <is>
          <t>Validation statique uniquement : pas de test navigateur/backend.</t>
        </is>
      </c>
      <c r="G75" s="28" t="inlineStr">
        <is>
          <t>Valider champs et historiser publication; prévisualisation avant diffusion.</t>
        </is>
      </c>
      <c r="H75" s="28" t="inlineStr">
        <is>
          <t>Créer offre, dupliquer SKU, archiver puis tester côté visiteur.</t>
        </is>
      </c>
      <c r="I75" s="28" t="inlineStr">
        <is>
          <t>SKU unique; offre inactive masquée; retour arrière/trace disponible.</t>
        </is>
      </c>
      <c r="J75" s="29" t="inlineStr">
        <is>
          <t>P1</t>
        </is>
      </c>
      <c r="K75" s="28" t="inlineStr">
        <is>
          <t>Validé V4 (Canopée immersive)</t>
        </is>
      </c>
      <c r="L75" s="25" t="inlineStr">
        <is>
          <t>Non exécuté</t>
        </is>
      </c>
      <c r="M75" s="28" t="inlineStr">
        <is>
          <t>Administration &amp; sécurité</t>
        </is>
      </c>
      <c r="N75" s="28" t="inlineStr">
        <is>
          <t>L.5494 / 7458</t>
        </is>
      </c>
      <c r="O75" s="30" t="inlineStr"/>
    </row>
    <row r="76" ht="94" customHeight="1">
      <c r="A76" s="22" t="inlineStr">
        <is>
          <t>ADM-02</t>
        </is>
      </c>
      <c r="B76" s="23" t="inlineStr">
        <is>
          <t>Administration</t>
        </is>
      </c>
      <c r="C76" s="23" t="inlineStr">
        <is>
          <t>Grille tarifaire, règles par âge, périodes et promotions</t>
        </is>
      </c>
      <c r="D76" s="23" t="inlineStr">
        <is>
          <t>Tarifs, âge, saison, promotions, dates d’effet</t>
        </is>
      </c>
      <c r="E76" s="23" t="inlineStr">
        <is>
          <t>Interface tarifs et règles métier dans ADM; tarifs utilisés dans plusieurs vues. Ancre autonome sec-ADM-02 présente.</t>
        </is>
      </c>
      <c r="F76" s="23" t="inlineStr">
        <is>
          <t>Validation statique uniquement : pas de test navigateur/backend.</t>
        </is>
      </c>
      <c r="G76" s="23" t="inlineStr">
        <is>
          <t>Versionner prix avec date d’effet et validation responsable.</t>
        </is>
      </c>
      <c r="H76" s="23" t="inlineStr">
        <is>
          <t>Modifier tarif Zoo, valider synchronisation PUB/RES/AGT, annuler.</t>
        </is>
      </c>
      <c r="I76" s="23" t="inlineStr">
        <is>
          <t>Même montant dans toutes vues; anciennes commandes inchangées.</t>
        </is>
      </c>
      <c r="J76" s="31" t="inlineStr">
        <is>
          <t>P0</t>
        </is>
      </c>
      <c r="K76" s="23" t="inlineStr">
        <is>
          <t>Validé V4 (Canopée immersive)</t>
        </is>
      </c>
      <c r="L76" s="25" t="inlineStr">
        <is>
          <t>Non exécuté</t>
        </is>
      </c>
      <c r="M76" s="23" t="inlineStr">
        <is>
          <t>Administration &amp; sécurité</t>
        </is>
      </c>
      <c r="N76" s="23" t="inlineStr">
        <is>
          <t>L.5531 / 7459</t>
        </is>
      </c>
      <c r="O76" s="26" t="inlineStr"/>
    </row>
    <row r="77" ht="94" customHeight="1">
      <c r="A77" s="27" t="inlineStr">
        <is>
          <t>ADM-03</t>
        </is>
      </c>
      <c r="B77" s="28" t="inlineStr">
        <is>
          <t>Administration</t>
        </is>
      </c>
      <c r="C77" s="28" t="inlineStr">
        <is>
          <t>Quotas, capacités, horaires et fermetures exceptionnelles</t>
        </is>
      </c>
      <c r="D77" s="28" t="inlineStr">
        <is>
          <t>Jauges, fermetures, horaires, bandeau météo</t>
        </is>
      </c>
      <c r="E77" s="28" t="inlineStr">
        <is>
          <t>Administration quotas et météo; règles de disponibilité démo. Ancre autonome sec-ADM-03 présente.</t>
        </is>
      </c>
      <c r="F77" s="28" t="inlineStr">
        <is>
          <t>Anomalies associées : A-009</t>
        </is>
      </c>
      <c r="G77" s="28" t="inlineStr">
        <is>
          <t>Seul staff habilité modifie quotas; traces et garde-fou stock négatif.</t>
        </is>
      </c>
      <c r="H77" s="28" t="inlineStr">
        <is>
          <t>Fermer piscine date donnée, réserver/consulter, rouvrir.</t>
        </is>
      </c>
      <c r="I77" s="28" t="inlineStr">
        <is>
          <t>Aucune réservation créée pendant fermeture; changement audité.</t>
        </is>
      </c>
      <c r="J77" s="31" t="inlineStr">
        <is>
          <t>P0</t>
        </is>
      </c>
      <c r="K77" s="28" t="inlineStr">
        <is>
          <t>Validé V4 (Canopée immersive)</t>
        </is>
      </c>
      <c r="L77" s="25" t="inlineStr">
        <is>
          <t>Non exécuté</t>
        </is>
      </c>
      <c r="M77" s="28" t="inlineStr">
        <is>
          <t>Administration &amp; sécurité</t>
        </is>
      </c>
      <c r="N77" s="28" t="inlineStr">
        <is>
          <t>L.5541 / 7460</t>
        </is>
      </c>
      <c r="O77" s="30" t="inlineStr"/>
    </row>
    <row r="78" ht="94" customHeight="1">
      <c r="A78" s="22" t="inlineStr">
        <is>
          <t>ADM-04</t>
        </is>
      </c>
      <c r="B78" s="23" t="inlineStr">
        <is>
          <t>Administration</t>
        </is>
      </c>
      <c r="C78" s="23" t="inlineStr">
        <is>
          <t>Contenus éditoriaux, médias, actualités et FAQ</t>
        </is>
      </c>
      <c r="D78" s="23" t="inlineStr">
        <is>
          <t>CMS actualités, menus, galerie, FAQ, publication</t>
        </is>
      </c>
      <c r="E78" s="23" t="inlineStr">
        <is>
          <t>Interface contenu et bibliothèque médias référencées. Ancre autonome sec-ADM-04 présente.</t>
        </is>
      </c>
      <c r="F78" s="23" t="inlineStr">
        <is>
          <t>Validation statique uniquement : pas de test navigateur/backend.</t>
        </is>
      </c>
      <c r="G78" s="23" t="inlineStr">
        <is>
          <t>Valider photo/alt, champs prix nullable et prépublication.</t>
        </is>
      </c>
      <c r="H78" s="23" t="inlineStr">
        <is>
          <t>Publier événement futur, corriger puis retirer; vérifier cache public.</t>
        </is>
      </c>
      <c r="I78" s="23" t="inlineStr">
        <is>
          <t>Contenu affiché fidèle; versions conservées; aucun média cassé.</t>
        </is>
      </c>
      <c r="J78" s="29" t="inlineStr">
        <is>
          <t>P1</t>
        </is>
      </c>
      <c r="K78" s="23" t="inlineStr">
        <is>
          <t>Validé V4 (Canopée immersive)</t>
        </is>
      </c>
      <c r="L78" s="25" t="inlineStr">
        <is>
          <t>Non exécuté</t>
        </is>
      </c>
      <c r="M78" s="23" t="inlineStr">
        <is>
          <t>Administration &amp; sécurité</t>
        </is>
      </c>
      <c r="N78" s="23" t="inlineStr">
        <is>
          <t>L.5567 / 7461</t>
        </is>
      </c>
      <c r="O78" s="26" t="inlineStr"/>
    </row>
    <row r="79" ht="94" customHeight="1">
      <c r="A79" s="27" t="inlineStr">
        <is>
          <t>ADM-05</t>
        </is>
      </c>
      <c r="B79" s="28" t="inlineStr">
        <is>
          <t>Administration</t>
        </is>
      </c>
      <c r="C79" s="28" t="inlineStr">
        <is>
          <t>Utilisateurs internes, rôles et permissions (7 rôles)</t>
        </is>
      </c>
      <c r="D79" s="28" t="inlineStr">
        <is>
          <t>Comptes internes, sept rôles, permissions, déconnexion</t>
        </is>
      </c>
      <c r="E79" s="28" t="inlineStr">
        <is>
          <t>Gestion profils/permissions prévue; sélecteur démo n’est pas contrôle d’accès. Ancre autonome sec-ADM-05 présente.</t>
        </is>
      </c>
      <c r="F79" s="28" t="inlineStr">
        <is>
          <t>Anomalies associées : A-007</t>
        </is>
      </c>
      <c r="G79" s="28" t="inlineStr">
        <is>
          <t>Appliquer RBAC côté base/API avec moindre privilège et MFA interne.</t>
        </is>
      </c>
      <c r="H79" s="28" t="inlineStr">
        <is>
          <t>Créer contrôleur, tenter supprimer offre, élever rôle via client.</t>
        </is>
      </c>
      <c r="I79" s="28" t="inlineStr">
        <is>
          <t>Toutes opérations interdites refusées côté serveur; journalisées.</t>
        </is>
      </c>
      <c r="J79" s="31" t="inlineStr">
        <is>
          <t>P0</t>
        </is>
      </c>
      <c r="K79" s="28" t="inlineStr">
        <is>
          <t>Validé V4 (Canopée immersive)</t>
        </is>
      </c>
      <c r="L79" s="25" t="inlineStr">
        <is>
          <t>Non exécuté</t>
        </is>
      </c>
      <c r="M79" s="28" t="inlineStr">
        <is>
          <t>Administration &amp; sécurité</t>
        </is>
      </c>
      <c r="N79" s="28" t="inlineStr">
        <is>
          <t>L.5582 / 7462</t>
        </is>
      </c>
      <c r="O79" s="30" t="inlineStr"/>
    </row>
    <row r="80" ht="94" customHeight="1">
      <c r="A80" s="22" t="inlineStr">
        <is>
          <t>ADM-06</t>
        </is>
      </c>
      <c r="B80" s="23" t="inlineStr">
        <is>
          <t>Administration</t>
        </is>
      </c>
      <c r="C80" s="23" t="inlineStr">
        <is>
          <t>Paramètres du site, coordonnées, horaires et textes légaux</t>
        </is>
      </c>
      <c r="D80" s="23" t="inlineStr">
        <is>
          <t>Coordonnées, horaires, CGV, configurations</t>
        </is>
      </c>
      <c r="E80" s="23" t="inlineStr">
        <is>
          <t>Paramètres métier et site présents dans le snapshot. Ancre autonome sec-ADM-06 présente.</t>
        </is>
      </c>
      <c r="F80" s="23" t="inlineStr">
        <is>
          <t>Anomalies associées : A-018, A-021</t>
        </is>
      </c>
      <c r="G80" s="23" t="inlineStr">
        <is>
          <t>Distinguer brouillon/publié, imposer validation des coordonnées légales.</t>
        </is>
      </c>
      <c r="H80" s="23" t="inlineStr">
        <is>
          <t>Changer horaire fermeture et vérifier toutes pages + structured data.</t>
        </is>
      </c>
      <c r="I80" s="23" t="inlineStr">
        <is>
          <t>Coordonnées et horaires cohérents dans UI, SEO, email et billets.</t>
        </is>
      </c>
      <c r="J80" s="29" t="inlineStr">
        <is>
          <t>P1</t>
        </is>
      </c>
      <c r="K80" s="23" t="inlineStr">
        <is>
          <t>Validé V4 (Canopée immersive)</t>
        </is>
      </c>
      <c r="L80" s="25" t="inlineStr">
        <is>
          <t>Non exécuté</t>
        </is>
      </c>
      <c r="M80" s="23" t="inlineStr">
        <is>
          <t>Administration &amp; sécurité</t>
        </is>
      </c>
      <c r="N80" s="23" t="inlineStr">
        <is>
          <t>L.5594 / 7463</t>
        </is>
      </c>
      <c r="O80" s="26" t="inlineStr"/>
    </row>
    <row r="81" ht="94" customHeight="1">
      <c r="A81" s="27" t="inlineStr">
        <is>
          <t>ADM-07</t>
        </is>
      </c>
      <c r="B81" s="28" t="inlineStr">
        <is>
          <t>Administration</t>
        </is>
      </c>
      <c r="C81" s="28" t="inlineStr">
        <is>
          <t>Paramètres d'intégration : paiement, messagerie, analytique (Sans secrets)</t>
        </is>
      </c>
      <c r="D81" s="28" t="inlineStr">
        <is>
          <t>Paramètres PSP, messagerie, analytics, secrets</t>
        </is>
      </c>
      <c r="E81" s="28" t="inlineStr">
        <is>
          <t>Écran annoncé « Sans secrets »; pilote Supabase utilise configuration. Ancre autonome sec-ADM-07 présente.</t>
        </is>
      </c>
      <c r="F81" s="28" t="inlineStr">
        <is>
          <t>Anomalies associées : A-003</t>
        </is>
      </c>
      <c r="G81" s="28" t="inlineStr">
        <is>
          <t>Conserver clés secrètes exclusivement serveur; contrôler webhooks et logs.</t>
        </is>
      </c>
      <c r="H81" s="28" t="inlineStr">
        <is>
          <t>Inspecter HTML/JS/network pour secrets et lancer paiement sandbox.</t>
        </is>
      </c>
      <c r="I81" s="28" t="inlineStr">
        <is>
          <t>Aucun secret exposé; webhook signé validé; échecs documentés.</t>
        </is>
      </c>
      <c r="J81" s="31" t="inlineStr">
        <is>
          <t>P0</t>
        </is>
      </c>
      <c r="K81" s="28" t="inlineStr">
        <is>
          <t>Validé V4 (Canopée immersive)</t>
        </is>
      </c>
      <c r="L81" s="25" t="inlineStr">
        <is>
          <t>Non exécuté</t>
        </is>
      </c>
      <c r="M81" s="28" t="inlineStr">
        <is>
          <t>Administration &amp; sécurité</t>
        </is>
      </c>
      <c r="N81" s="28" t="inlineStr">
        <is>
          <t>L.5595 / 7464</t>
        </is>
      </c>
      <c r="O81" s="30" t="inlineStr"/>
    </row>
    <row r="82" ht="94" customHeight="1">
      <c r="A82" s="22" t="inlineStr">
        <is>
          <t>ADM-08</t>
        </is>
      </c>
      <c r="B82" s="23" t="inlineStr">
        <is>
          <t>Administration</t>
        </is>
      </c>
      <c r="C82" s="23" t="inlineStr">
        <is>
          <t>Journal d'audit et historique des actions sensibles</t>
        </is>
      </c>
      <c r="D82" s="23" t="inlineStr">
        <is>
          <t>Journal d’audit des actions sensibles</t>
        </is>
      </c>
      <c r="E82" s="23" t="inlineStr">
        <is>
          <t>Écran annoncé « Journal d’audit immuable »; en local auditLogs est modifiable en mémoire. Ancre autonome sec-ADM-08 présente.</t>
        </is>
      </c>
      <c r="F82" s="23" t="inlineStr">
        <is>
          <t>Anomalies associées : A-023</t>
        </is>
      </c>
      <c r="G82" s="23" t="inlineStr">
        <is>
          <t>Journal append-only serveur, horodatage fiable, rétention et export sécurisé.</t>
        </is>
      </c>
      <c r="H82" s="23" t="inlineStr">
        <is>
          <t>Changer tarif, rembourser, supprimer offre puis tenter altérer une entrée.</t>
        </is>
      </c>
      <c r="I82" s="23" t="inlineStr">
        <is>
          <t>Toutes opérations tracées; aucune suppression/édition par utilisateur standard.</t>
        </is>
      </c>
      <c r="J82" s="31" t="inlineStr">
        <is>
          <t>P0</t>
        </is>
      </c>
      <c r="K82" s="23" t="inlineStr">
        <is>
          <t>Validé V4 (Canopée immersive)</t>
        </is>
      </c>
      <c r="L82" s="25" t="inlineStr">
        <is>
          <t>Non exécuté</t>
        </is>
      </c>
      <c r="M82" s="23" t="inlineStr">
        <is>
          <t>Administration &amp; sécurité</t>
        </is>
      </c>
      <c r="N82" s="23" t="inlineStr">
        <is>
          <t>L.5643 / 7465</t>
        </is>
      </c>
      <c r="O82" s="26" t="inlineStr"/>
    </row>
  </sheetData>
  <autoFilter ref="A5:O82"/>
  <mergeCells count="2">
    <mergeCell ref="A1:O2"/>
    <mergeCell ref="A3:O3"/>
  </mergeCells>
  <conditionalFormatting sqref="L6:L82">
    <cfRule type="expression" priority="1" dxfId="0">
      <formula>$L6="Réussi"</formula>
    </cfRule>
    <cfRule type="expression" priority="2" dxfId="1">
      <formula>$L6="Échoué"</formula>
    </cfRule>
    <cfRule type="expression" priority="3" dxfId="2">
      <formula>$L6="Bloqué"</formula>
    </cfRule>
    <cfRule type="expression" priority="4" dxfId="3">
      <formula>$L6="Non exécuté"</formula>
    </cfRule>
  </conditionalFormatting>
  <dataValidations count="1">
    <dataValidation sqref="L6:L82" showDropDown="0" showInputMessage="0" showErrorMessage="1" allowBlank="0" errorTitle="Statut incorrect" error="Choisissez une valeur du menu" type="list">
      <formula1>"Non exécuté,Réussi,Échoué,Bloqué,Sans objet"</formula1>
    </dataValidation>
  </dataValidations>
  <printOptions horizontalCentered="1"/>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71"/>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3" customWidth="1" min="2" max="2"/>
    <col width="20" customWidth="1" min="3" max="3"/>
    <col width="34" customWidth="1" min="4" max="4"/>
    <col width="75" customWidth="1" min="5" max="5"/>
    <col width="80" customWidth="1" min="6" max="6"/>
    <col width="13" customWidth="1" min="7" max="7"/>
    <col width="24" customWidth="1" min="8" max="8"/>
    <col width="18" customWidth="1" min="9" max="9"/>
    <col width="22" customWidth="1" min="10" max="10"/>
    <col width="18" customWidth="1" min="11" max="11"/>
    <col width="35" customWidth="1" min="12" max="12"/>
    <col width="18" customWidth="1" min="13" max="13"/>
    <col width="38" customWidth="1" min="14" max="14"/>
  </cols>
  <sheetData>
    <row r="1" ht="22" customHeight="1">
      <c r="A1" s="19" t="inlineStr">
        <is>
          <t>PLAN D’EXÉCUTION | CAS DE TEST</t>
        </is>
      </c>
    </row>
    <row r="2" ht="21" customHeight="1"/>
    <row r="3" ht="26" customHeight="1">
      <c r="A3" s="20" t="inlineStr">
        <is>
          <t>154 cas ciblés (77 × UX + fonctionnel) + 12 scénarios transverses. Statuts modifiables par l’équipe de recette.</t>
        </is>
      </c>
    </row>
    <row r="5" ht="34" customHeight="1">
      <c r="A5" s="21" t="inlineStr">
        <is>
          <t>Test ID</t>
        </is>
      </c>
      <c r="B5" s="21" t="inlineStr">
        <is>
          <t>Écran</t>
        </is>
      </c>
      <c r="C5" s="21" t="inlineStr">
        <is>
          <t>Type</t>
        </is>
      </c>
      <c r="D5" s="21" t="inlineStr">
        <is>
          <t>Précondition / profil</t>
        </is>
      </c>
      <c r="E5" s="21" t="inlineStr">
        <is>
          <t>Étapes de test</t>
        </is>
      </c>
      <c r="F5" s="21" t="inlineStr">
        <is>
          <t>Résultat attendu</t>
        </is>
      </c>
      <c r="G5" s="21" t="inlineStr">
        <is>
          <t>Priorité</t>
        </is>
      </c>
      <c r="H5" s="21" t="inlineStr">
        <is>
          <t>Environnement</t>
        </is>
      </c>
      <c r="I5" s="21" t="inlineStr">
        <is>
          <t>Statut</t>
        </is>
      </c>
      <c r="J5" s="21" t="inlineStr">
        <is>
          <t>Exécutant</t>
        </is>
      </c>
      <c r="K5" s="21" t="inlineStr">
        <is>
          <t>Date réelle</t>
        </is>
      </c>
      <c r="L5" s="21" t="inlineStr">
        <is>
          <t>Preuve / URL / capture</t>
        </is>
      </c>
      <c r="M5" s="21" t="inlineStr">
        <is>
          <t>Bug lié</t>
        </is>
      </c>
      <c r="N5" s="21" t="inlineStr">
        <is>
          <t>Commentaire</t>
        </is>
      </c>
    </row>
    <row r="6" ht="75" customHeight="1">
      <c r="A6" s="22" t="inlineStr">
        <is>
          <t>QA-DS-01-01</t>
        </is>
      </c>
      <c r="B6" s="23" t="inlineStr">
        <is>
          <t>DS-01</t>
        </is>
      </c>
      <c r="C6" s="23" t="inlineStr">
        <is>
          <t>UX / accessibilité</t>
        </is>
      </c>
      <c r="D6" s="23" t="inlineStr">
        <is>
          <t>Vue DS-01 ouverte sur navigateur desktop et mobile; données de démonstration isolées.</t>
        </is>
      </c>
      <c r="E6" s="23" t="inlineStr">
        <is>
          <t>1. Ouvrir DS-01. 2. Inspecter présentation, contraste, libellés, focus et responsive à 375px/1440px. 3. Tester clavier/zoom 200%. 4. Comparer composants : Logo rond, zones de protection, fonds autorisés, usages interdits.</t>
        </is>
      </c>
      <c r="F6" s="23" t="inlineStr">
        <is>
          <t>Présentation conforme à la charte ; aucune action inaccessible au clavier ; pas de débordement ou occultation. Contrôler aussi : Formaliser dimensions, taille minimale, contraste, favicon, variantes et exemples interdits.</t>
        </is>
      </c>
      <c r="G6" s="23" t="inlineStr">
        <is>
          <t>P2</t>
        </is>
      </c>
      <c r="H6" s="26" t="inlineStr">
        <is>
          <t>À définir</t>
        </is>
      </c>
      <c r="I6" s="25" t="inlineStr">
        <is>
          <t>Non exécuté</t>
        </is>
      </c>
      <c r="J6" s="26" t="inlineStr"/>
      <c r="K6" s="26" t="inlineStr"/>
      <c r="L6" s="26" t="inlineStr"/>
      <c r="M6" s="26" t="inlineStr"/>
      <c r="N6" s="26" t="inlineStr"/>
    </row>
    <row r="7" ht="75" customHeight="1">
      <c r="A7" s="27" t="inlineStr">
        <is>
          <t>QA-DS-01-02</t>
        </is>
      </c>
      <c r="B7" s="28" t="inlineStr">
        <is>
          <t>DS-01</t>
        </is>
      </c>
      <c r="C7" s="28" t="inlineStr">
        <is>
          <t>Fonctionnel / métier</t>
        </is>
      </c>
      <c r="D7" s="28" t="inlineStr">
        <is>
          <t>Identité test adaptée au rôle « UX/UI &amp; DA », données tests réinitialisées.</t>
        </is>
      </c>
      <c r="E7" s="28" t="inlineStr">
        <is>
          <t>1. Ouvrir DS-01. 2. Comparer les variantes sur fonds clair, sombre, photographie et favicon 32 px. 3. Contrôler persistance et état après actualisation. 4. Tester erreur/réseau si applicable.</t>
        </is>
      </c>
      <c r="F7" s="28" t="inlineStr">
        <is>
          <t>Logo reconnaissable à 32 px; pas de déformation ni perte de détail; règles documentées.</t>
        </is>
      </c>
      <c r="G7" s="28" t="inlineStr">
        <is>
          <t>P2</t>
        </is>
      </c>
      <c r="H7" s="30" t="inlineStr">
        <is>
          <t>À définir</t>
        </is>
      </c>
      <c r="I7" s="25" t="inlineStr">
        <is>
          <t>Non exécuté</t>
        </is>
      </c>
      <c r="J7" s="30" t="inlineStr"/>
      <c r="K7" s="30" t="inlineStr"/>
      <c r="L7" s="30" t="inlineStr"/>
      <c r="M7" s="30" t="inlineStr"/>
      <c r="N7" s="30" t="inlineStr"/>
    </row>
    <row r="8" ht="75" customHeight="1">
      <c r="A8" s="22" t="inlineStr">
        <is>
          <t>QA-DS-02-01</t>
        </is>
      </c>
      <c r="B8" s="23" t="inlineStr">
        <is>
          <t>DS-02</t>
        </is>
      </c>
      <c r="C8" s="23" t="inlineStr">
        <is>
          <t>UX / accessibilité</t>
        </is>
      </c>
      <c r="D8" s="23" t="inlineStr">
        <is>
          <t>Vue DS-02 ouverte sur navigateur desktop et mobile; données de démonstration isolées.</t>
        </is>
      </c>
      <c r="E8" s="23" t="inlineStr">
        <is>
          <t>1. Ouvrir DS-02. 2. Inspecter présentation, contraste, libellés, focus et responsive à 375px/1440px. 3. Tester clavier/zoom 200%. 4. Comparer composants : Tokens de couleur, contrastes, hiérarchie, échelle typo.</t>
        </is>
      </c>
      <c r="F8" s="23" t="inlineStr">
        <is>
          <t>Présentation conforme à la charte ; aucune action inaccessible au clavier ; pas de débordement ou occultation. Contrôler aussi : Auditer états et contrastes sur toutes surfaces et composants; corriger textes mobiles inférieurs à 14 px.</t>
        </is>
      </c>
      <c r="G8" s="23" t="inlineStr">
        <is>
          <t>P1</t>
        </is>
      </c>
      <c r="H8" s="26" t="inlineStr">
        <is>
          <t>À définir</t>
        </is>
      </c>
      <c r="I8" s="25" t="inlineStr">
        <is>
          <t>Non exécuté</t>
        </is>
      </c>
      <c r="J8" s="26" t="inlineStr"/>
      <c r="K8" s="26" t="inlineStr"/>
      <c r="L8" s="26" t="inlineStr"/>
      <c r="M8" s="26" t="inlineStr"/>
      <c r="N8" s="26" t="inlineStr"/>
    </row>
    <row r="9" ht="75" customHeight="1">
      <c r="A9" s="27" t="inlineStr">
        <is>
          <t>QA-DS-02-02</t>
        </is>
      </c>
      <c r="B9" s="28" t="inlineStr">
        <is>
          <t>DS-02</t>
        </is>
      </c>
      <c r="C9" s="28" t="inlineStr">
        <is>
          <t>Fonctionnel / métier</t>
        </is>
      </c>
      <c r="D9" s="28" t="inlineStr">
        <is>
          <t>Identité test adaptée au rôle « UX/UI &amp; DA », données tests réinitialisées.</t>
        </is>
      </c>
      <c r="E9" s="28" t="inlineStr">
        <is>
          <t>1. Ouvrir DS-02. 2. Mesurer le contraste de textes, boutons, erreurs, prix et liens dans chaque état. 3. Contrôler persistance et état après actualisation. 4. Tester erreur/réseau si applicable.</t>
        </is>
      </c>
      <c r="F9" s="28" t="inlineStr">
        <is>
          <t>WCAG 2.2 AA : 4,5:1 texte normal, 3:1 grand texte et composants; exceptions documentées.</t>
        </is>
      </c>
      <c r="G9" s="28" t="inlineStr">
        <is>
          <t>P1</t>
        </is>
      </c>
      <c r="H9" s="30" t="inlineStr">
        <is>
          <t>À définir</t>
        </is>
      </c>
      <c r="I9" s="25" t="inlineStr">
        <is>
          <t>Non exécuté</t>
        </is>
      </c>
      <c r="J9" s="30" t="inlineStr"/>
      <c r="K9" s="30" t="inlineStr"/>
      <c r="L9" s="30" t="inlineStr"/>
      <c r="M9" s="30" t="inlineStr"/>
      <c r="N9" s="30" t="inlineStr"/>
    </row>
    <row r="10" ht="75" customHeight="1">
      <c r="A10" s="22" t="inlineStr">
        <is>
          <t>QA-DS-03-01</t>
        </is>
      </c>
      <c r="B10" s="23" t="inlineStr">
        <is>
          <t>DS-03</t>
        </is>
      </c>
      <c r="C10" s="23" t="inlineStr">
        <is>
          <t>UX / accessibilité</t>
        </is>
      </c>
      <c r="D10" s="23" t="inlineStr">
        <is>
          <t>Vue DS-03 ouverte sur navigateur desktop et mobile; données de démonstration isolées.</t>
        </is>
      </c>
      <c r="E10" s="23" t="inlineStr">
        <is>
          <t>1. Ouvrir DS-03. 2. Inspecter présentation, contraste, libellés, focus et responsive à 375px/1440px. 3. Tester clavier/zoom 200%. 4. Comparer composants : Grille 12 colonnes, espacements, arrondis, ombres, motif radial.</t>
        </is>
      </c>
      <c r="F10" s="23" t="inlineStr">
        <is>
          <t>Présentation conforme à la charte ; aucune action inaccessible au clavier ; pas de débordement ou occultation. Contrôler aussi : Consolider les tokens, supprimer valeurs divergentes, définir espacements mobile/desktop.</t>
        </is>
      </c>
      <c r="G10" s="23" t="inlineStr">
        <is>
          <t>P1</t>
        </is>
      </c>
      <c r="H10" s="26" t="inlineStr">
        <is>
          <t>À définir</t>
        </is>
      </c>
      <c r="I10" s="25" t="inlineStr">
        <is>
          <t>Non exécuté</t>
        </is>
      </c>
      <c r="J10" s="26" t="inlineStr"/>
      <c r="K10" s="26" t="inlineStr"/>
      <c r="L10" s="26" t="inlineStr"/>
      <c r="M10" s="26" t="inlineStr"/>
      <c r="N10" s="26" t="inlineStr"/>
    </row>
    <row r="11" ht="75" customHeight="1">
      <c r="A11" s="27" t="inlineStr">
        <is>
          <t>QA-DS-03-02</t>
        </is>
      </c>
      <c r="B11" s="28" t="inlineStr">
        <is>
          <t>DS-03</t>
        </is>
      </c>
      <c r="C11" s="28" t="inlineStr">
        <is>
          <t>Fonctionnel / métier</t>
        </is>
      </c>
      <c r="D11" s="28" t="inlineStr">
        <is>
          <t>Identité test adaptée au rôle « UX/UI &amp; DA », données tests réinitialisées.</t>
        </is>
      </c>
      <c r="E11" s="28" t="inlineStr">
        <is>
          <t>1. Ouvrir DS-03. 2. Inspecter à 320, 375, 412, 768, 1024, 1440 px et zoom 200 %. 3. Contrôler persistance et état après actualisation. 4. Tester erreur/réseau si applicable.</t>
        </is>
      </c>
      <c r="F11" s="28" t="inlineStr">
        <is>
          <t>Pas de débordement horizontal non voulu; écarts cohérents; structure stable au zoom 200 %.</t>
        </is>
      </c>
      <c r="G11" s="28" t="inlineStr">
        <is>
          <t>P1</t>
        </is>
      </c>
      <c r="H11" s="30" t="inlineStr">
        <is>
          <t>À définir</t>
        </is>
      </c>
      <c r="I11" s="25" t="inlineStr">
        <is>
          <t>Non exécuté</t>
        </is>
      </c>
      <c r="J11" s="30" t="inlineStr"/>
      <c r="K11" s="30" t="inlineStr"/>
      <c r="L11" s="30" t="inlineStr"/>
      <c r="M11" s="30" t="inlineStr"/>
      <c r="N11" s="30" t="inlineStr"/>
    </row>
    <row r="12" ht="75" customHeight="1">
      <c r="A12" s="22" t="inlineStr">
        <is>
          <t>QA-DS-04-01</t>
        </is>
      </c>
      <c r="B12" s="23" t="inlineStr">
        <is>
          <t>DS-04</t>
        </is>
      </c>
      <c r="C12" s="23" t="inlineStr">
        <is>
          <t>UX / accessibilité</t>
        </is>
      </c>
      <c r="D12" s="23" t="inlineStr">
        <is>
          <t>Vue DS-04 ouverte sur navigateur desktop et mobile; données de démonstration isolées.</t>
        </is>
      </c>
      <c r="E12" s="23" t="inlineStr">
        <is>
          <t>1. Ouvrir DS-04. 2. Inspecter présentation, contraste, libellés, focus et responsive à 375px/1440px. 3. Tester clavier/zoom 200%. 4. Comparer composants : Boutons primaires/secondaires, liens, badges, SVG, états.</t>
        </is>
      </c>
      <c r="F12" s="23" t="inlineStr">
        <is>
          <t>Présentation conforme à la charte ; aucune action inaccessible au clavier ; pas de débordement ou occultation. Contrôler aussi : Normaliser états survol, focus, désactivé, en cours, succès et erreur.</t>
        </is>
      </c>
      <c r="G12" s="23" t="inlineStr">
        <is>
          <t>P1</t>
        </is>
      </c>
      <c r="H12" s="26" t="inlineStr">
        <is>
          <t>À définir</t>
        </is>
      </c>
      <c r="I12" s="25" t="inlineStr">
        <is>
          <t>Non exécuté</t>
        </is>
      </c>
      <c r="J12" s="26" t="inlineStr"/>
      <c r="K12" s="26" t="inlineStr"/>
      <c r="L12" s="26" t="inlineStr"/>
      <c r="M12" s="26" t="inlineStr"/>
      <c r="N12" s="26" t="inlineStr"/>
    </row>
    <row r="13" ht="75" customHeight="1">
      <c r="A13" s="27" t="inlineStr">
        <is>
          <t>QA-DS-04-02</t>
        </is>
      </c>
      <c r="B13" s="28" t="inlineStr">
        <is>
          <t>DS-04</t>
        </is>
      </c>
      <c r="C13" s="28" t="inlineStr">
        <is>
          <t>Fonctionnel / métier</t>
        </is>
      </c>
      <c r="D13" s="28" t="inlineStr">
        <is>
          <t>Identité test adaptée au rôle « UX/UI &amp; DA », données tests réinitialisées.</t>
        </is>
      </c>
      <c r="E13" s="28" t="inlineStr">
        <is>
          <t>1. Ouvrir DS-04. 2. Parcourir au clavier bouton, lien et badge actionnable; vérifier focus et libellés. 3. Contrôler persistance et état après actualisation. 4. Tester erreur/réseau si applicable.</t>
        </is>
      </c>
      <c r="F13" s="28" t="inlineStr">
        <is>
          <t>Tous les contrôles atteignables au clavier; focus visible; aucune icône seule ambiguë.</t>
        </is>
      </c>
      <c r="G13" s="28" t="inlineStr">
        <is>
          <t>P1</t>
        </is>
      </c>
      <c r="H13" s="30" t="inlineStr">
        <is>
          <t>À définir</t>
        </is>
      </c>
      <c r="I13" s="25" t="inlineStr">
        <is>
          <t>Non exécuté</t>
        </is>
      </c>
      <c r="J13" s="30" t="inlineStr"/>
      <c r="K13" s="30" t="inlineStr"/>
      <c r="L13" s="30" t="inlineStr"/>
      <c r="M13" s="30" t="inlineStr"/>
      <c r="N13" s="30" t="inlineStr"/>
    </row>
    <row r="14" ht="75" customHeight="1">
      <c r="A14" s="22" t="inlineStr">
        <is>
          <t>QA-DS-05-01</t>
        </is>
      </c>
      <c r="B14" s="23" t="inlineStr">
        <is>
          <t>DS-05</t>
        </is>
      </c>
      <c r="C14" s="23" t="inlineStr">
        <is>
          <t>UX / accessibilité</t>
        </is>
      </c>
      <c r="D14" s="23" t="inlineStr">
        <is>
          <t>Vue DS-05 ouverte sur navigateur desktop et mobile; données de démonstration isolées.</t>
        </is>
      </c>
      <c r="E14" s="23" t="inlineStr">
        <is>
          <t>1. Ouvrir DS-05. 2. Inspecter présentation, contraste, libellés, focus et responsive à 375px/1440px. 3. Tester clavier/zoom 200%. 4. Comparer composants : Formulaires, labels, erreurs, calendrier, compteurs et messages.</t>
        </is>
      </c>
      <c r="F14" s="23" t="inlineStr">
        <is>
          <t>Présentation conforme à la charte ; aucune action inaccessible au clavier ; pas de débordement ou occultation. Contrôler aussi : Maintenir cibles tactiles suffisamment grandes et messages d’erreur associés aux champs.</t>
        </is>
      </c>
      <c r="G14" s="23" t="inlineStr">
        <is>
          <t>P1</t>
        </is>
      </c>
      <c r="H14" s="26" t="inlineStr">
        <is>
          <t>À définir</t>
        </is>
      </c>
      <c r="I14" s="25" t="inlineStr">
        <is>
          <t>Non exécuté</t>
        </is>
      </c>
      <c r="J14" s="26" t="inlineStr"/>
      <c r="K14" s="26" t="inlineStr"/>
      <c r="L14" s="26" t="inlineStr"/>
      <c r="M14" s="26" t="inlineStr"/>
      <c r="N14" s="26" t="inlineStr"/>
    </row>
    <row r="15" ht="75" customHeight="1">
      <c r="A15" s="27" t="inlineStr">
        <is>
          <t>QA-DS-05-02</t>
        </is>
      </c>
      <c r="B15" s="28" t="inlineStr">
        <is>
          <t>DS-05</t>
        </is>
      </c>
      <c r="C15" s="28" t="inlineStr">
        <is>
          <t>Fonctionnel / métier</t>
        </is>
      </c>
      <c r="D15" s="28" t="inlineStr">
        <is>
          <t>Identité test adaptée au rôle « UX/UI &amp; DA », données tests réinitialisées.</t>
        </is>
      </c>
      <c r="E15" s="28" t="inlineStr">
        <is>
          <t>1. Ouvrir DS-05. 2. Soumettre champs vides, formats erronés, date passée, +237 invalide et plusieurs erreurs. 3. Contrôler persistance et état après actualisation. 4. Tester erreur/réseau si applicable.</t>
        </is>
      </c>
      <c r="F15" s="28" t="inlineStr">
        <is>
          <t>Champs requis signalés; erreurs compréhensibles et annoncées; aucune saisie perdue.</t>
        </is>
      </c>
      <c r="G15" s="28" t="inlineStr">
        <is>
          <t>P1</t>
        </is>
      </c>
      <c r="H15" s="30" t="inlineStr">
        <is>
          <t>À définir</t>
        </is>
      </c>
      <c r="I15" s="25" t="inlineStr">
        <is>
          <t>Non exécuté</t>
        </is>
      </c>
      <c r="J15" s="30" t="inlineStr"/>
      <c r="K15" s="30" t="inlineStr"/>
      <c r="L15" s="30" t="inlineStr"/>
      <c r="M15" s="30" t="inlineStr"/>
      <c r="N15" s="30" t="inlineStr"/>
    </row>
    <row r="16" ht="75" customHeight="1">
      <c r="A16" s="22" t="inlineStr">
        <is>
          <t>QA-DS-06-01</t>
        </is>
      </c>
      <c r="B16" s="23" t="inlineStr">
        <is>
          <t>DS-06</t>
        </is>
      </c>
      <c r="C16" s="23" t="inlineStr">
        <is>
          <t>UX / accessibilité</t>
        </is>
      </c>
      <c r="D16" s="23" t="inlineStr">
        <is>
          <t>Vue DS-06 ouverte sur navigateur desktop et mobile; données de démonstration isolées.</t>
        </is>
      </c>
      <c r="E16" s="23" t="inlineStr">
        <is>
          <t>1. Ouvrir DS-06. 2. Inspecter présentation, contraste, libellés, focus et responsive à 375px/1440px. 3. Tester clavier/zoom 200%. 4. Comparer composants : Cartes offres/loges, tableaux tarifaires, accordéons, modales.</t>
        </is>
      </c>
      <c r="F16" s="23" t="inlineStr">
        <is>
          <t>Présentation conforme à la charte ; aucune action inaccessible au clavier ; pas de débordement ou occultation. Contrôler aussi : Définir une bibliothèque unique et tester longueurs de titre et variantes de contenu.</t>
        </is>
      </c>
      <c r="G16" s="23" t="inlineStr">
        <is>
          <t>P1</t>
        </is>
      </c>
      <c r="H16" s="26" t="inlineStr">
        <is>
          <t>À définir</t>
        </is>
      </c>
      <c r="I16" s="25" t="inlineStr">
        <is>
          <t>Non exécuté</t>
        </is>
      </c>
      <c r="J16" s="26" t="inlineStr"/>
      <c r="K16" s="26" t="inlineStr"/>
      <c r="L16" s="26" t="inlineStr"/>
      <c r="M16" s="26" t="inlineStr"/>
      <c r="N16" s="26" t="inlineStr"/>
    </row>
    <row r="17" ht="75" customHeight="1">
      <c r="A17" s="27" t="inlineStr">
        <is>
          <t>QA-DS-06-02</t>
        </is>
      </c>
      <c r="B17" s="28" t="inlineStr">
        <is>
          <t>DS-06</t>
        </is>
      </c>
      <c r="C17" s="28" t="inlineStr">
        <is>
          <t>Fonctionnel / métier</t>
        </is>
      </c>
      <c r="D17" s="28" t="inlineStr">
        <is>
          <t>Identité test adaptée au rôle « UX/UI &amp; DA », données tests réinitialisées.</t>
        </is>
      </c>
      <c r="E17" s="28" t="inlineStr">
        <is>
          <t>1. Ouvrir DS-06. 2. Ouvrir/fermer chaque modal via souris/clavier; tester tableaux sur mobile. 3. Contrôler persistance et état après actualisation. 4. Tester erreur/réseau si applicable.</t>
        </is>
      </c>
      <c r="F17" s="28" t="inlineStr">
        <is>
          <t>Focus capturé/restauré en modal; fermeture Échap; tableau lisible sans action impossible.</t>
        </is>
      </c>
      <c r="G17" s="28" t="inlineStr">
        <is>
          <t>P1</t>
        </is>
      </c>
      <c r="H17" s="30" t="inlineStr">
        <is>
          <t>À définir</t>
        </is>
      </c>
      <c r="I17" s="25" t="inlineStr">
        <is>
          <t>Non exécuté</t>
        </is>
      </c>
      <c r="J17" s="30" t="inlineStr"/>
      <c r="K17" s="30" t="inlineStr"/>
      <c r="L17" s="30" t="inlineStr"/>
      <c r="M17" s="30" t="inlineStr"/>
      <c r="N17" s="30" t="inlineStr"/>
    </row>
    <row r="18" ht="75" customHeight="1">
      <c r="A18" s="22" t="inlineStr">
        <is>
          <t>QA-DS-07-01</t>
        </is>
      </c>
      <c r="B18" s="23" t="inlineStr">
        <is>
          <t>DS-07</t>
        </is>
      </c>
      <c r="C18" s="23" t="inlineStr">
        <is>
          <t>UX / accessibilité</t>
        </is>
      </c>
      <c r="D18" s="23" t="inlineStr">
        <is>
          <t>Vue DS-07 ouverte sur navigateur desktop et mobile; données de démonstration isolées.</t>
        </is>
      </c>
      <c r="E18" s="23" t="inlineStr">
        <is>
          <t>1. Ouvrir DS-07. 2. Inspecter présentation, contraste, libellés, focus et responsive à 375px/1440px. 3. Tester clavier/zoom 200%. 4. Comparer composants : Header, navigation, pied, fil d’Ariane, navigation mobile.</t>
        </is>
      </c>
      <c r="F18" s="23" t="inlineStr">
        <is>
          <t>Présentation conforme à la charte ; aucune action inaccessible au clavier ; pas de débordement ou occultation. Contrôler aussi : Créer une navigation mobile explicite avec hiérarchie et CTA durable.</t>
        </is>
      </c>
      <c r="G18" s="23" t="inlineStr">
        <is>
          <t>P1</t>
        </is>
      </c>
      <c r="H18" s="26" t="inlineStr">
        <is>
          <t>À définir</t>
        </is>
      </c>
      <c r="I18" s="25" t="inlineStr">
        <is>
          <t>Non exécuté</t>
        </is>
      </c>
      <c r="J18" s="26" t="inlineStr"/>
      <c r="K18" s="26" t="inlineStr"/>
      <c r="L18" s="26" t="inlineStr"/>
      <c r="M18" s="26" t="inlineStr"/>
      <c r="N18" s="26" t="inlineStr"/>
    </row>
    <row r="19" ht="75" customHeight="1">
      <c r="A19" s="27" t="inlineStr">
        <is>
          <t>QA-DS-07-02</t>
        </is>
      </c>
      <c r="B19" s="28" t="inlineStr">
        <is>
          <t>DS-07</t>
        </is>
      </c>
      <c r="C19" s="28" t="inlineStr">
        <is>
          <t>Fonctionnel / métier</t>
        </is>
      </c>
      <c r="D19" s="28" t="inlineStr">
        <is>
          <t>Identité test adaptée au rôle « UX/UI &amp; DA », données tests réinitialisées.</t>
        </is>
      </c>
      <c r="E19" s="28" t="inlineStr">
        <is>
          <t>1. Ouvrir DS-07. 2. Tester navigation multi-parcours au clavier et sur smartphone 320 px. 3. Contrôler persistance et état après actualisation. 4. Tester erreur/réseau si applicable.</t>
        </is>
      </c>
      <c r="F19" s="28" t="inlineStr">
        <is>
          <t>L’utilisateur retrouve l’accueil, les tarifs et Réserver en ≤3 actions; état actif perceptible.</t>
        </is>
      </c>
      <c r="G19" s="28" t="inlineStr">
        <is>
          <t>P1</t>
        </is>
      </c>
      <c r="H19" s="30" t="inlineStr">
        <is>
          <t>À définir</t>
        </is>
      </c>
      <c r="I19" s="25" t="inlineStr">
        <is>
          <t>Non exécuté</t>
        </is>
      </c>
      <c r="J19" s="30" t="inlineStr"/>
      <c r="K19" s="30" t="inlineStr"/>
      <c r="L19" s="30" t="inlineStr"/>
      <c r="M19" s="30" t="inlineStr"/>
      <c r="N19" s="30" t="inlineStr"/>
    </row>
    <row r="20" ht="75" customHeight="1">
      <c r="A20" s="22" t="inlineStr">
        <is>
          <t>QA-DS-08-01</t>
        </is>
      </c>
      <c r="B20" s="23" t="inlineStr">
        <is>
          <t>DS-08</t>
        </is>
      </c>
      <c r="C20" s="23" t="inlineStr">
        <is>
          <t>UX / accessibilité</t>
        </is>
      </c>
      <c r="D20" s="23" t="inlineStr">
        <is>
          <t>Vue DS-08 ouverte sur navigateur desktop et mobile; données de démonstration isolées.</t>
        </is>
      </c>
      <c r="E20" s="23" t="inlineStr">
        <is>
          <t>1. Ouvrir DS-08. 2. Inspecter présentation, contraste, libellés, focus et responsive à 375px/1440px. 3. Tester clavier/zoom 200%. 4. Comparer composants : Simulateur, panier, billets QR, scan, KPIs, états métier.</t>
        </is>
      </c>
      <c r="F20" s="23" t="inlineStr">
        <is>
          <t>Présentation conforme à la charte ; aucune action inaccessible au clavier ; pas de débordement ou occultation. Contrôler aussi : Distinguer explicitement maquette, simulation et flux homologué; unifier les états de service.</t>
        </is>
      </c>
      <c r="G20" s="23" t="inlineStr">
        <is>
          <t>P0</t>
        </is>
      </c>
      <c r="H20" s="26" t="inlineStr">
        <is>
          <t>À définir</t>
        </is>
      </c>
      <c r="I20" s="25" t="inlineStr">
        <is>
          <t>Non exécuté</t>
        </is>
      </c>
      <c r="J20" s="26" t="inlineStr"/>
      <c r="K20" s="26" t="inlineStr"/>
      <c r="L20" s="26" t="inlineStr"/>
      <c r="M20" s="26" t="inlineStr"/>
      <c r="N20" s="26" t="inlineStr"/>
    </row>
    <row r="21" ht="75" customHeight="1">
      <c r="A21" s="27" t="inlineStr">
        <is>
          <t>QA-DS-08-02</t>
        </is>
      </c>
      <c r="B21" s="28" t="inlineStr">
        <is>
          <t>DS-08</t>
        </is>
      </c>
      <c r="C21" s="28" t="inlineStr">
        <is>
          <t>Fonctionnel / métier</t>
        </is>
      </c>
      <c r="D21" s="28" t="inlineStr">
        <is>
          <t>Identité test adaptée au rôle « UX/UI &amp; DA », données tests réinitialisées.</t>
        </is>
      </c>
      <c r="E21" s="28" t="inlineStr">
        <is>
          <t>1. Ouvrir DS-08. 2. Comparer les composants communs entre RES, AGT, EXP, DIR et ADM. 3. Contrôler persistance et état après actualisation. 4. Tester erreur/réseau si applicable.</t>
        </is>
      </c>
      <c r="F21" s="28" t="inlineStr">
        <is>
          <t>Un même dossier affiche mêmes statut, montant, date et référence sur tous les écrans.</t>
        </is>
      </c>
      <c r="G21" s="28" t="inlineStr">
        <is>
          <t>P0</t>
        </is>
      </c>
      <c r="H21" s="30" t="inlineStr">
        <is>
          <t>À définir</t>
        </is>
      </c>
      <c r="I21" s="25" t="inlineStr">
        <is>
          <t>Non exécuté</t>
        </is>
      </c>
      <c r="J21" s="30" t="inlineStr"/>
      <c r="K21" s="30" t="inlineStr"/>
      <c r="L21" s="30" t="inlineStr"/>
      <c r="M21" s="30" t="inlineStr"/>
      <c r="N21" s="30" t="inlineStr"/>
    </row>
    <row r="22" ht="75" customHeight="1">
      <c r="A22" s="22" t="inlineStr">
        <is>
          <t>QA-PUB-01-01</t>
        </is>
      </c>
      <c r="B22" s="23" t="inlineStr">
        <is>
          <t>PUB-01</t>
        </is>
      </c>
      <c r="C22" s="23" t="inlineStr">
        <is>
          <t>UX / accessibilité</t>
        </is>
      </c>
      <c r="D22" s="23" t="inlineStr">
        <is>
          <t>Vue PUB-01 ouverte sur navigateur desktop et mobile; données de démonstration isolées.</t>
        </is>
      </c>
      <c r="E22" s="23" t="inlineStr">
        <is>
          <t>1. Ouvrir PUB-01. 2. Inspecter présentation, contraste, libellés, focus et responsive à 375px/1440px. 3. Tester clavier/zoom 200%. 4. Comparer composants : Hero, galerie immersive, CTA réservation, 3 prix, 4 profils.</t>
        </is>
      </c>
      <c r="F22" s="23" t="inlineStr">
        <is>
          <t>Présentation conforme à la charte ; aucune action inaccessible au clavier ; pas de débordement ou occultation. Contrôler aussi : Hiérarchiser 1 CTA primaire et 1 secondaire; raccourcir le bloc principal; fiabiliser météo.</t>
        </is>
      </c>
      <c r="G22" s="23" t="inlineStr">
        <is>
          <t>P1</t>
        </is>
      </c>
      <c r="H22" s="26" t="inlineStr">
        <is>
          <t>À définir</t>
        </is>
      </c>
      <c r="I22" s="25" t="inlineStr">
        <is>
          <t>Non exécuté</t>
        </is>
      </c>
      <c r="J22" s="26" t="inlineStr"/>
      <c r="K22" s="26" t="inlineStr"/>
      <c r="L22" s="26" t="inlineStr"/>
      <c r="M22" s="26" t="inlineStr"/>
      <c r="N22" s="26" t="inlineStr"/>
    </row>
    <row r="23" ht="75" customHeight="1">
      <c r="A23" s="27" t="inlineStr">
        <is>
          <t>QA-PUB-01-02</t>
        </is>
      </c>
      <c r="B23" s="28" t="inlineStr">
        <is>
          <t>PUB-01</t>
        </is>
      </c>
      <c r="C23" s="28" t="inlineStr">
        <is>
          <t>Fonctionnel / métier</t>
        </is>
      </c>
      <c r="D23" s="28" t="inlineStr">
        <is>
          <t>Identité test adaptée au rôle « Équipe web &amp; contenu », données tests réinitialisées.</t>
        </is>
      </c>
      <c r="E23" s="28" t="inlineStr">
        <is>
          <t>1. Ouvrir PUB-01. 2. Visite famille depuis la page d’accueil jusqu’à sélection de prestation sur smartphone. 3. Contrôler persistance et état après actualisation. 4. Tester erreur/réseau si applicable.</t>
        </is>
      </c>
      <c r="F23" s="28" t="inlineStr">
        <is>
          <t>Activité + prix + CTA visibles sans confusion; source/heure météo explicites si affichage live.</t>
        </is>
      </c>
      <c r="G23" s="28" t="inlineStr">
        <is>
          <t>P1</t>
        </is>
      </c>
      <c r="H23" s="30" t="inlineStr">
        <is>
          <t>À définir</t>
        </is>
      </c>
      <c r="I23" s="25" t="inlineStr">
        <is>
          <t>Non exécuté</t>
        </is>
      </c>
      <c r="J23" s="30" t="inlineStr"/>
      <c r="K23" s="30" t="inlineStr"/>
      <c r="L23" s="30" t="inlineStr"/>
      <c r="M23" s="30" t="inlineStr"/>
      <c r="N23" s="30" t="inlineStr"/>
    </row>
    <row r="24" ht="75" customHeight="1">
      <c r="A24" s="22" t="inlineStr">
        <is>
          <t>QA-PUB-02-01</t>
        </is>
      </c>
      <c r="B24" s="23" t="inlineStr">
        <is>
          <t>PUB-02</t>
        </is>
      </c>
      <c r="C24" s="23" t="inlineStr">
        <is>
          <t>UX / accessibilité</t>
        </is>
      </c>
      <c r="D24" s="23" t="inlineStr">
        <is>
          <t>Vue PUB-02 ouverte sur navigateur desktop et mobile; données de démonstration isolées.</t>
        </is>
      </c>
      <c r="E24" s="23" t="inlineStr">
        <is>
          <t>1. Ouvrir PUB-02. 2. Inspecter présentation, contraste, libellés, focus et responsive à 375px/1440px. 3. Tester clavier/zoom 200%. 4. Comparer composants : Présentation, engagements, plan illustré et orientation.</t>
        </is>
      </c>
      <c r="F24" s="23" t="inlineStr">
        <is>
          <t>Présentation conforme à la charte ; aucune action inaccessible au clavier ; pas de débordement ou occultation. Contrôler aussi : Rendre le plan accessible, préciser que la carte est schématique et proposer une alternative texte.</t>
        </is>
      </c>
      <c r="G24" s="23" t="inlineStr">
        <is>
          <t>P1</t>
        </is>
      </c>
      <c r="H24" s="26" t="inlineStr">
        <is>
          <t>À définir</t>
        </is>
      </c>
      <c r="I24" s="25" t="inlineStr">
        <is>
          <t>Non exécuté</t>
        </is>
      </c>
      <c r="J24" s="26" t="inlineStr"/>
      <c r="K24" s="26" t="inlineStr"/>
      <c r="L24" s="26" t="inlineStr"/>
      <c r="M24" s="26" t="inlineStr"/>
      <c r="N24" s="26" t="inlineStr"/>
    </row>
    <row r="25" ht="75" customHeight="1">
      <c r="A25" s="27" t="inlineStr">
        <is>
          <t>QA-PUB-02-02</t>
        </is>
      </c>
      <c r="B25" s="28" t="inlineStr">
        <is>
          <t>PUB-02</t>
        </is>
      </c>
      <c r="C25" s="28" t="inlineStr">
        <is>
          <t>Fonctionnel / métier</t>
        </is>
      </c>
      <c r="D25" s="28" t="inlineStr">
        <is>
          <t>Identité test adaptée au rôle « Équipe web &amp; contenu », données tests réinitialisées.</t>
        </is>
      </c>
      <c r="E25" s="28" t="inlineStr">
        <is>
          <t>1. Ouvrir PUB-02. 2. Activer chaque zone du plan avec clavier et lecteur d’écran; vérifier description. 3. Contrôler persistance et état après actualisation. 4. Tester erreur/réseau si applicable.</t>
        </is>
      </c>
      <c r="F25" s="28" t="inlineStr">
        <is>
          <t>Toutes les zones sont accessibles et conduisent à une information ou activité pertinente.</t>
        </is>
      </c>
      <c r="G25" s="28" t="inlineStr">
        <is>
          <t>P1</t>
        </is>
      </c>
      <c r="H25" s="30" t="inlineStr">
        <is>
          <t>À définir</t>
        </is>
      </c>
      <c r="I25" s="25" t="inlineStr">
        <is>
          <t>Non exécuté</t>
        </is>
      </c>
      <c r="J25" s="30" t="inlineStr"/>
      <c r="K25" s="30" t="inlineStr"/>
      <c r="L25" s="30" t="inlineStr"/>
      <c r="M25" s="30" t="inlineStr"/>
      <c r="N25" s="30" t="inlineStr"/>
    </row>
    <row r="26" ht="75" customHeight="1">
      <c r="A26" s="22" t="inlineStr">
        <is>
          <t>QA-PUB-03-01</t>
        </is>
      </c>
      <c r="B26" s="23" t="inlineStr">
        <is>
          <t>PUB-03</t>
        </is>
      </c>
      <c r="C26" s="23" t="inlineStr">
        <is>
          <t>UX / accessibilité</t>
        </is>
      </c>
      <c r="D26" s="23" t="inlineStr">
        <is>
          <t>Vue PUB-03 ouverte sur navigateur desktop et mobile; données de démonstration isolées.</t>
        </is>
      </c>
      <c r="E26" s="23" t="inlineStr">
        <is>
          <t>1. Ouvrir PUB-03. 2. Inspecter présentation, contraste, libellés, focus et responsive à 375px/1440px. 3. Tester clavier/zoom 200%. 4. Comparer composants : Liste expériences, photos, filtres, tarifs, CTA.</t>
        </is>
      </c>
      <c r="F26" s="23" t="inlineStr">
        <is>
          <t>Présentation conforme à la charte ; aucune action inaccessible au clavier ; pas de débordement ou occultation. Contrôler aussi : Aligner catégories, filtres et libellés; signaler les contenus non photographiques si requis.</t>
        </is>
      </c>
      <c r="G26" s="23" t="inlineStr">
        <is>
          <t>P1</t>
        </is>
      </c>
      <c r="H26" s="26" t="inlineStr">
        <is>
          <t>À définir</t>
        </is>
      </c>
      <c r="I26" s="25" t="inlineStr">
        <is>
          <t>Non exécuté</t>
        </is>
      </c>
      <c r="J26" s="26" t="inlineStr"/>
      <c r="K26" s="26" t="inlineStr"/>
      <c r="L26" s="26" t="inlineStr"/>
      <c r="M26" s="26" t="inlineStr"/>
      <c r="N26" s="26" t="inlineStr"/>
    </row>
    <row r="27" ht="75" customHeight="1">
      <c r="A27" s="27" t="inlineStr">
        <is>
          <t>QA-PUB-03-02</t>
        </is>
      </c>
      <c r="B27" s="28" t="inlineStr">
        <is>
          <t>PUB-03</t>
        </is>
      </c>
      <c r="C27" s="28" t="inlineStr">
        <is>
          <t>Fonctionnel / métier</t>
        </is>
      </c>
      <c r="D27" s="28" t="inlineStr">
        <is>
          <t>Identité test adaptée au rôle « Équipe web &amp; contenu », données tests réinitialisées.</t>
        </is>
      </c>
      <c r="E27" s="28" t="inlineStr">
        <is>
          <t>1. Ouvrir PUB-03. 2. Filtrer faune, eau et restauration, réinitialiser puis ouvrir une fiche. 3. Contrôler persistance et état après actualisation. 4. Tester erreur/réseau si applicable.</t>
        </is>
      </c>
      <c r="F27" s="28" t="inlineStr">
        <is>
          <t>Filtres appliqués sans incohérence; prix et disponibilité associés à la bonne activité.</t>
        </is>
      </c>
      <c r="G27" s="28" t="inlineStr">
        <is>
          <t>P1</t>
        </is>
      </c>
      <c r="H27" s="30" t="inlineStr">
        <is>
          <t>À définir</t>
        </is>
      </c>
      <c r="I27" s="25" t="inlineStr">
        <is>
          <t>Non exécuté</t>
        </is>
      </c>
      <c r="J27" s="30" t="inlineStr"/>
      <c r="K27" s="30" t="inlineStr"/>
      <c r="L27" s="30" t="inlineStr"/>
      <c r="M27" s="30" t="inlineStr"/>
      <c r="N27" s="30" t="inlineStr"/>
    </row>
    <row r="28" ht="75" customHeight="1">
      <c r="A28" s="22" t="inlineStr">
        <is>
          <t>QA-PUB-04-01</t>
        </is>
      </c>
      <c r="B28" s="23" t="inlineStr">
        <is>
          <t>PUB-04</t>
        </is>
      </c>
      <c r="C28" s="23" t="inlineStr">
        <is>
          <t>UX / accessibilité</t>
        </is>
      </c>
      <c r="D28" s="23" t="inlineStr">
        <is>
          <t>Vue PUB-04 ouverte sur navigateur desktop et mobile; données de démonstration isolées.</t>
        </is>
      </c>
      <c r="E28" s="23" t="inlineStr">
        <is>
          <t>1. Ouvrir PUB-04. 2. Inspecter présentation, contraste, libellés, focus et responsive à 375px/1440px. 3. Tester clavier/zoom 200%. 4. Comparer composants : Détail pirogue : durée, conditions, tarif, visuel, réserver.</t>
        </is>
      </c>
      <c r="F28" s="23" t="inlineStr">
        <is>
          <t>Présentation conforme à la charte ; aucune action inaccessible au clavier ; pas de débordement ou occultation. Contrôler aussi : Isoler une fiche détail stable avec ancre/URL, règles d’âge, sécurité et CTA.</t>
        </is>
      </c>
      <c r="G28" s="23" t="inlineStr">
        <is>
          <t>P1</t>
        </is>
      </c>
      <c r="H28" s="26" t="inlineStr">
        <is>
          <t>À définir</t>
        </is>
      </c>
      <c r="I28" s="25" t="inlineStr">
        <is>
          <t>Non exécuté</t>
        </is>
      </c>
      <c r="J28" s="26" t="inlineStr"/>
      <c r="K28" s="26" t="inlineStr"/>
      <c r="L28" s="26" t="inlineStr"/>
      <c r="M28" s="26" t="inlineStr"/>
      <c r="N28" s="26" t="inlineStr"/>
    </row>
    <row r="29" ht="75" customHeight="1">
      <c r="A29" s="27" t="inlineStr">
        <is>
          <t>QA-PUB-04-02</t>
        </is>
      </c>
      <c r="B29" s="28" t="inlineStr">
        <is>
          <t>PUB-04</t>
        </is>
      </c>
      <c r="C29" s="28" t="inlineStr">
        <is>
          <t>Fonctionnel / métier</t>
        </is>
      </c>
      <c r="D29" s="28" t="inlineStr">
        <is>
          <t>Identité test adaptée au rôle « Équipe web &amp; contenu », données tests réinitialisées.</t>
        </is>
      </c>
      <c r="E29" s="28" t="inlineStr">
        <is>
          <t>1. Ouvrir PUB-04. 2. Ouvrir la pirogue depuis le catalogue; modifier nombre de participants. 3. Contrôler persistance et état après actualisation. 4. Tester erreur/réseau si applicable.</t>
        </is>
      </c>
      <c r="F29" s="28" t="inlineStr">
        <is>
          <t>Le détail s’ouvre directement; le panier reprend le bon produit et le bon prix.</t>
        </is>
      </c>
      <c r="G29" s="28" t="inlineStr">
        <is>
          <t>P1</t>
        </is>
      </c>
      <c r="H29" s="30" t="inlineStr">
        <is>
          <t>À définir</t>
        </is>
      </c>
      <c r="I29" s="25" t="inlineStr">
        <is>
          <t>Non exécuté</t>
        </is>
      </c>
      <c r="J29" s="30" t="inlineStr"/>
      <c r="K29" s="30" t="inlineStr"/>
      <c r="L29" s="30" t="inlineStr"/>
      <c r="M29" s="30" t="inlineStr"/>
      <c r="N29" s="30" t="inlineStr"/>
    </row>
    <row r="30" ht="75" customHeight="1">
      <c r="A30" s="22" t="inlineStr">
        <is>
          <t>QA-PUB-05-01</t>
        </is>
      </c>
      <c r="B30" s="23" t="inlineStr">
        <is>
          <t>PUB-05</t>
        </is>
      </c>
      <c r="C30" s="23" t="inlineStr">
        <is>
          <t>UX / accessibilité</t>
        </is>
      </c>
      <c r="D30" s="23" t="inlineStr">
        <is>
          <t>Vue PUB-05 ouverte sur navigateur desktop et mobile; données de démonstration isolées.</t>
        </is>
      </c>
      <c r="E30" s="23" t="inlineStr">
        <is>
          <t>1. Ouvrir PUB-05. 2. Inspecter présentation, contraste, libellés, focus et responsive à 375px/1440px. 3. Tester clavier/zoom 200%. 4. Comparer composants : Zoo, faune/flore, sécurité, visite pédagogique.</t>
        </is>
      </c>
      <c r="F30" s="23" t="inlineStr">
        <is>
          <t>Présentation conforme à la charte ; aucune action inaccessible au clavier ; pas de débordement ou occultation. Contrôler aussi : Ajouter conditions réelles d’accès/observation, avertissements et consignes de bien-être animal.</t>
        </is>
      </c>
      <c r="G30" s="23" t="inlineStr">
        <is>
          <t>P1</t>
        </is>
      </c>
      <c r="H30" s="26" t="inlineStr">
        <is>
          <t>À définir</t>
        </is>
      </c>
      <c r="I30" s="25" t="inlineStr">
        <is>
          <t>Non exécuté</t>
        </is>
      </c>
      <c r="J30" s="26" t="inlineStr"/>
      <c r="K30" s="26" t="inlineStr"/>
      <c r="L30" s="26" t="inlineStr"/>
      <c r="M30" s="26" t="inlineStr"/>
      <c r="N30" s="26" t="inlineStr"/>
    </row>
    <row r="31" ht="75" customHeight="1">
      <c r="A31" s="27" t="inlineStr">
        <is>
          <t>QA-PUB-05-02</t>
        </is>
      </c>
      <c r="B31" s="28" t="inlineStr">
        <is>
          <t>PUB-05</t>
        </is>
      </c>
      <c r="C31" s="28" t="inlineStr">
        <is>
          <t>Fonctionnel / métier</t>
        </is>
      </c>
      <c r="D31" s="28" t="inlineStr">
        <is>
          <t>Identité test adaptée au rôle « Équipe web &amp; contenu », données tests réinitialisées.</t>
        </is>
      </c>
      <c r="E31" s="28" t="inlineStr">
        <is>
          <t>1. Ouvrir PUB-05. 2. Trouver les informations sur les activités et restrictions avant réservation. 3. Contrôler persistance et état après actualisation. 4. Tester erreur/réseau si applicable.</t>
        </is>
      </c>
      <c r="F31" s="28" t="inlineStr">
        <is>
          <t>Consignes affichées avant achat; aucune promesse d’observation garantie non vérifiée.</t>
        </is>
      </c>
      <c r="G31" s="28" t="inlineStr">
        <is>
          <t>P1</t>
        </is>
      </c>
      <c r="H31" s="30" t="inlineStr">
        <is>
          <t>À définir</t>
        </is>
      </c>
      <c r="I31" s="25" t="inlineStr">
        <is>
          <t>Non exécuté</t>
        </is>
      </c>
      <c r="J31" s="30" t="inlineStr"/>
      <c r="K31" s="30" t="inlineStr"/>
      <c r="L31" s="30" t="inlineStr"/>
      <c r="M31" s="30" t="inlineStr"/>
      <c r="N31" s="30" t="inlineStr"/>
    </row>
    <row r="32" ht="75" customHeight="1">
      <c r="A32" s="22" t="inlineStr">
        <is>
          <t>QA-PUB-06-01</t>
        </is>
      </c>
      <c r="B32" s="23" t="inlineStr">
        <is>
          <t>PUB-06</t>
        </is>
      </c>
      <c r="C32" s="23" t="inlineStr">
        <is>
          <t>UX / accessibilité</t>
        </is>
      </c>
      <c r="D32" s="23" t="inlineStr">
        <is>
          <t>Vue PUB-06 ouverte sur navigateur desktop et mobile; données de démonstration isolées.</t>
        </is>
      </c>
      <c r="E32" s="23" t="inlineStr">
        <is>
          <t>1. Ouvrir PUB-06. 2. Inspecter présentation, contraste, libellés, focus et responsive à 375px/1440px. 3. Tester clavier/zoom 200%. 4. Comparer composants : Piscine, lac, cheval, pêche, équipements, règles.</t>
        </is>
      </c>
      <c r="F32" s="23" t="inlineStr">
        <is>
          <t>Présentation conforme à la charte ; aucune action inaccessible au clavier ; pas de débordement ou occultation. Contrôler aussi : Clarifier âges, horaires, encadrement, équipement, conditions météo et inclusions.</t>
        </is>
      </c>
      <c r="G32" s="23" t="inlineStr">
        <is>
          <t>P1</t>
        </is>
      </c>
      <c r="H32" s="26" t="inlineStr">
        <is>
          <t>À définir</t>
        </is>
      </c>
      <c r="I32" s="25" t="inlineStr">
        <is>
          <t>Non exécuté</t>
        </is>
      </c>
      <c r="J32" s="26" t="inlineStr"/>
      <c r="K32" s="26" t="inlineStr"/>
      <c r="L32" s="26" t="inlineStr"/>
      <c r="M32" s="26" t="inlineStr"/>
      <c r="N32" s="26" t="inlineStr"/>
    </row>
    <row r="33" ht="75" customHeight="1">
      <c r="A33" s="27" t="inlineStr">
        <is>
          <t>QA-PUB-06-02</t>
        </is>
      </c>
      <c r="B33" s="28" t="inlineStr">
        <is>
          <t>PUB-06</t>
        </is>
      </c>
      <c r="C33" s="28" t="inlineStr">
        <is>
          <t>Fonctionnel / métier</t>
        </is>
      </c>
      <c r="D33" s="28" t="inlineStr">
        <is>
          <t>Identité test adaptée au rôle « Équipe web &amp; contenu », données tests réinitialisées.</t>
        </is>
      </c>
      <c r="E33" s="28" t="inlineStr">
        <is>
          <t>1. Ouvrir PUB-06. 2. Comparer une visite enfant/adulte puis réserver une activité sensible. 3. Contrôler persistance et état après actualisation. 4. Tester erreur/réseau si applicable.</t>
        </is>
      </c>
      <c r="F33" s="28" t="inlineStr">
        <is>
          <t>Tarifs, contraintes de sécurité et disponibilité visibles avant confirmation.</t>
        </is>
      </c>
      <c r="G33" s="28" t="inlineStr">
        <is>
          <t>P1</t>
        </is>
      </c>
      <c r="H33" s="30" t="inlineStr">
        <is>
          <t>À définir</t>
        </is>
      </c>
      <c r="I33" s="25" t="inlineStr">
        <is>
          <t>Non exécuté</t>
        </is>
      </c>
      <c r="J33" s="30" t="inlineStr"/>
      <c r="K33" s="30" t="inlineStr"/>
      <c r="L33" s="30" t="inlineStr"/>
      <c r="M33" s="30" t="inlineStr"/>
      <c r="N33" s="30" t="inlineStr"/>
    </row>
    <row r="34" ht="75" customHeight="1">
      <c r="A34" s="22" t="inlineStr">
        <is>
          <t>QA-PUB-07-01</t>
        </is>
      </c>
      <c r="B34" s="23" t="inlineStr">
        <is>
          <t>PUB-07</t>
        </is>
      </c>
      <c r="C34" s="23" t="inlineStr">
        <is>
          <t>UX / accessibilité</t>
        </is>
      </c>
      <c r="D34" s="23" t="inlineStr">
        <is>
          <t>Vue PUB-07 ouverte sur navigateur desktop et mobile; données de démonstration isolées.</t>
        </is>
      </c>
      <c r="E34" s="23" t="inlineStr">
        <is>
          <t>1. Ouvrir PUB-07. 2. Inspecter présentation, contraste, libellés, focus et responsive à 375px/1440px. 3. Tester clavier/zoom 200%. 4. Comparer composants : Menu Château des Saveurs, photos, prix, disponibilité, contact.</t>
        </is>
      </c>
      <c r="F34" s="23" t="inlineStr">
        <is>
          <t>Présentation conforme à la charte ; aucune action inaccessible au clavier ; pas de débordement ou occultation. Contrôler aussi : Afficher prix confirmé ou « Prix à confirmer »; ne pas permettre une commande chiffrée sur prix nul.</t>
        </is>
      </c>
      <c r="G34" s="23" t="inlineStr">
        <is>
          <t>P1</t>
        </is>
      </c>
      <c r="H34" s="26" t="inlineStr">
        <is>
          <t>À définir</t>
        </is>
      </c>
      <c r="I34" s="25" t="inlineStr">
        <is>
          <t>Non exécuté</t>
        </is>
      </c>
      <c r="J34" s="26" t="inlineStr"/>
      <c r="K34" s="26" t="inlineStr"/>
      <c r="L34" s="26" t="inlineStr"/>
      <c r="M34" s="26" t="inlineStr"/>
      <c r="N34" s="26" t="inlineStr"/>
    </row>
    <row r="35" ht="75" customHeight="1">
      <c r="A35" s="27" t="inlineStr">
        <is>
          <t>QA-PUB-07-02</t>
        </is>
      </c>
      <c r="B35" s="28" t="inlineStr">
        <is>
          <t>PUB-07</t>
        </is>
      </c>
      <c r="C35" s="28" t="inlineStr">
        <is>
          <t>Fonctionnel / métier</t>
        </is>
      </c>
      <c r="D35" s="28" t="inlineStr">
        <is>
          <t>Identité test adaptée au rôle « Équipe web &amp; contenu », données tests réinitialisées.</t>
        </is>
      </c>
      <c r="E35" s="28" t="inlineStr">
        <is>
          <t>1. Ouvrir PUB-07. 2. Ouvrir chaque plat, tester commande/disponibilité et item sans prix. 3. Contrôler persistance et état après actualisation. 4. Tester erreur/réseau si applicable.</t>
        </is>
      </c>
      <c r="F35" s="28" t="inlineStr">
        <is>
          <t>Aucun prix inventé; un article sans prix ne peut devenir une ligne payable.</t>
        </is>
      </c>
      <c r="G35" s="28" t="inlineStr">
        <is>
          <t>P1</t>
        </is>
      </c>
      <c r="H35" s="30" t="inlineStr">
        <is>
          <t>À définir</t>
        </is>
      </c>
      <c r="I35" s="25" t="inlineStr">
        <is>
          <t>Non exécuté</t>
        </is>
      </c>
      <c r="J35" s="30" t="inlineStr"/>
      <c r="K35" s="30" t="inlineStr"/>
      <c r="L35" s="30" t="inlineStr"/>
      <c r="M35" s="30" t="inlineStr"/>
      <c r="N35" s="30" t="inlineStr"/>
    </row>
    <row r="36" ht="75" customHeight="1">
      <c r="A36" s="22" t="inlineStr">
        <is>
          <t>QA-PUB-08-01</t>
        </is>
      </c>
      <c r="B36" s="23" t="inlineStr">
        <is>
          <t>PUB-08</t>
        </is>
      </c>
      <c r="C36" s="23" t="inlineStr">
        <is>
          <t>UX / accessibilité</t>
        </is>
      </c>
      <c r="D36" s="23" t="inlineStr">
        <is>
          <t>Vue PUB-08 ouverte sur navigateur desktop et mobile; données de démonstration isolées.</t>
        </is>
      </c>
      <c r="E36" s="23" t="inlineStr">
        <is>
          <t>1. Ouvrir PUB-08. 2. Inspecter présentation, contraste, libellés, focus et responsive à 375px/1440px. 3. Tester clavier/zoom 200%. 4. Comparer composants : Comparaison des cités Bene/Chanthel/Ewondo, équipement, prix.</t>
        </is>
      </c>
      <c r="F36" s="23" t="inlineStr">
        <is>
          <t>Présentation conforme à la charte ; aucune action inaccessible au clavier ; pas de débordement ou occultation. Contrôler aussi : Comparer les trois offres dans une grille homogène; préciser nuitée, taxes, disponibilité.</t>
        </is>
      </c>
      <c r="G36" s="23" t="inlineStr">
        <is>
          <t>P1</t>
        </is>
      </c>
      <c r="H36" s="26" t="inlineStr">
        <is>
          <t>À définir</t>
        </is>
      </c>
      <c r="I36" s="25" t="inlineStr">
        <is>
          <t>Non exécuté</t>
        </is>
      </c>
      <c r="J36" s="26" t="inlineStr"/>
      <c r="K36" s="26" t="inlineStr"/>
      <c r="L36" s="26" t="inlineStr"/>
      <c r="M36" s="26" t="inlineStr"/>
      <c r="N36" s="26" t="inlineStr"/>
    </row>
    <row r="37" ht="75" customHeight="1">
      <c r="A37" s="27" t="inlineStr">
        <is>
          <t>QA-PUB-08-02</t>
        </is>
      </c>
      <c r="B37" s="28" t="inlineStr">
        <is>
          <t>PUB-08</t>
        </is>
      </c>
      <c r="C37" s="28" t="inlineStr">
        <is>
          <t>Fonctionnel / métier</t>
        </is>
      </c>
      <c r="D37" s="28" t="inlineStr">
        <is>
          <t>Identité test adaptée au rôle « Équipe web &amp; contenu », données tests réinitialisées.</t>
        </is>
      </c>
      <c r="E37" s="28" t="inlineStr">
        <is>
          <t>1. Ouvrir PUB-08. 2. Filtrer par budget et capacité puis choisir une cité. 3. Contrôler persistance et état après actualisation. 4. Tester erreur/réseau si applicable.</t>
        </is>
      </c>
      <c r="F37" s="28" t="inlineStr">
        <is>
          <t>Chaque offre indique prix unitaire, capacité, prestations et règles de séjour.</t>
        </is>
      </c>
      <c r="G37" s="28" t="inlineStr">
        <is>
          <t>P1</t>
        </is>
      </c>
      <c r="H37" s="30" t="inlineStr">
        <is>
          <t>À définir</t>
        </is>
      </c>
      <c r="I37" s="25" t="inlineStr">
        <is>
          <t>Non exécuté</t>
        </is>
      </c>
      <c r="J37" s="30" t="inlineStr"/>
      <c r="K37" s="30" t="inlineStr"/>
      <c r="L37" s="30" t="inlineStr"/>
      <c r="M37" s="30" t="inlineStr"/>
      <c r="N37" s="30" t="inlineStr"/>
    </row>
    <row r="38" ht="75" customHeight="1">
      <c r="A38" s="22" t="inlineStr">
        <is>
          <t>QA-PUB-09-01</t>
        </is>
      </c>
      <c r="B38" s="23" t="inlineStr">
        <is>
          <t>PUB-09</t>
        </is>
      </c>
      <c r="C38" s="23" t="inlineStr">
        <is>
          <t>UX / accessibilité</t>
        </is>
      </c>
      <c r="D38" s="23" t="inlineStr">
        <is>
          <t>Vue PUB-09 ouverte sur navigateur desktop et mobile; données de démonstration isolées.</t>
        </is>
      </c>
      <c r="E38" s="23" t="inlineStr">
        <is>
          <t>1. Ouvrir PUB-09. 2. Inspecter présentation, contraste, libellés, focus et responsive à 375px/1440px. 3. Tester clavier/zoom 200%. 4. Comparer composants : Fiche loge Ewondo, galerie, équipements, calendrier.</t>
        </is>
      </c>
      <c r="F38" s="23" t="inlineStr">
        <is>
          <t>Présentation conforme à la charte ; aucune action inaccessible au clavier ; pas de débordement ou occultation. Contrôler aussi : Créer fiche profonde liée au calendrier réel; montrer disponibilité par date.</t>
        </is>
      </c>
      <c r="G38" s="23" t="inlineStr">
        <is>
          <t>P0</t>
        </is>
      </c>
      <c r="H38" s="26" t="inlineStr">
        <is>
          <t>À définir</t>
        </is>
      </c>
      <c r="I38" s="25" t="inlineStr">
        <is>
          <t>Non exécuté</t>
        </is>
      </c>
      <c r="J38" s="26" t="inlineStr"/>
      <c r="K38" s="26" t="inlineStr"/>
      <c r="L38" s="26" t="inlineStr"/>
      <c r="M38" s="26" t="inlineStr"/>
      <c r="N38" s="26" t="inlineStr"/>
    </row>
    <row r="39" ht="75" customHeight="1">
      <c r="A39" s="27" t="inlineStr">
        <is>
          <t>QA-PUB-09-02</t>
        </is>
      </c>
      <c r="B39" s="28" t="inlineStr">
        <is>
          <t>PUB-09</t>
        </is>
      </c>
      <c r="C39" s="28" t="inlineStr">
        <is>
          <t>Fonctionnel / métier</t>
        </is>
      </c>
      <c r="D39" s="28" t="inlineStr">
        <is>
          <t>Identité test adaptée au rôle « Équipe web &amp; contenu », données tests réinitialisées.</t>
        </is>
      </c>
      <c r="E39" s="28" t="inlineStr">
        <is>
          <t>1. Ouvrir PUB-09. 2. Sélectionner Ewondo, changer deux dates, vérifier stock et panier. 3. Contrôler persistance et état après actualisation. 4. Tester erreur/réseau si applicable.</t>
        </is>
      </c>
      <c r="F39" s="28" t="inlineStr">
        <is>
          <t>Stock et tarif cohérents selon dates; aucune réservation en cas de quota épuisé.</t>
        </is>
      </c>
      <c r="G39" s="28" t="inlineStr">
        <is>
          <t>P0</t>
        </is>
      </c>
      <c r="H39" s="30" t="inlineStr">
        <is>
          <t>À définir</t>
        </is>
      </c>
      <c r="I39" s="25" t="inlineStr">
        <is>
          <t>Non exécuté</t>
        </is>
      </c>
      <c r="J39" s="30" t="inlineStr"/>
      <c r="K39" s="30" t="inlineStr"/>
      <c r="L39" s="30" t="inlineStr"/>
      <c r="M39" s="30" t="inlineStr"/>
      <c r="N39" s="30" t="inlineStr"/>
    </row>
    <row r="40" ht="75" customHeight="1">
      <c r="A40" s="22" t="inlineStr">
        <is>
          <t>QA-PUB-10-01</t>
        </is>
      </c>
      <c r="B40" s="23" t="inlineStr">
        <is>
          <t>PUB-10</t>
        </is>
      </c>
      <c r="C40" s="23" t="inlineStr">
        <is>
          <t>UX / accessibilité</t>
        </is>
      </c>
      <c r="D40" s="23" t="inlineStr">
        <is>
          <t>Vue PUB-10 ouverte sur navigateur desktop et mobile; données de démonstration isolées.</t>
        </is>
      </c>
      <c r="E40" s="23" t="inlineStr">
        <is>
          <t>1. Ouvrir PUB-10. 2. Inspecter présentation, contraste, libellés, focus et responsive à 375px/1440px. 3. Tester clavier/zoom 200%. 4. Comparer composants : Tarifs FCFA, pass, conditions, âge, promotions.</t>
        </is>
      </c>
      <c r="F40" s="23" t="inlineStr">
        <is>
          <t>Présentation conforme à la charte ; aucune action inaccessible au clavier ; pas de débordement ou occultation. Contrôler aussi : Une source tarifaire unique avec date d’effet; clarifier enfant/adulte et réductions.</t>
        </is>
      </c>
      <c r="G40" s="23" t="inlineStr">
        <is>
          <t>P0</t>
        </is>
      </c>
      <c r="H40" s="26" t="inlineStr">
        <is>
          <t>À définir</t>
        </is>
      </c>
      <c r="I40" s="25" t="inlineStr">
        <is>
          <t>Non exécuté</t>
        </is>
      </c>
      <c r="J40" s="26" t="inlineStr"/>
      <c r="K40" s="26" t="inlineStr"/>
      <c r="L40" s="26" t="inlineStr"/>
      <c r="M40" s="26" t="inlineStr"/>
      <c r="N40" s="26" t="inlineStr"/>
    </row>
    <row r="41" ht="75" customHeight="1">
      <c r="A41" s="27" t="inlineStr">
        <is>
          <t>QA-PUB-10-02</t>
        </is>
      </c>
      <c r="B41" s="28" t="inlineStr">
        <is>
          <t>PUB-10</t>
        </is>
      </c>
      <c r="C41" s="28" t="inlineStr">
        <is>
          <t>Fonctionnel / métier</t>
        </is>
      </c>
      <c r="D41" s="28" t="inlineStr">
        <is>
          <t>Identité test adaptée au rôle « Équipe web &amp; contenu », données tests réinitialisées.</t>
        </is>
      </c>
      <c r="E41" s="28" t="inlineStr">
        <is>
          <t>1. Ouvrir PUB-10. 2. Comparer Zoo/Piscine/Pass entre PUB-10, RES-03 et AGT-03. 3. Contrôler persistance et état après actualisation. 4. Tester erreur/réseau si applicable.</t>
        </is>
      </c>
      <c r="F41" s="28" t="inlineStr">
        <is>
          <t>Même prix de référence dans 3 parcours pour tout jeu de cas; écarts = 0 FCFA.</t>
        </is>
      </c>
      <c r="G41" s="28" t="inlineStr">
        <is>
          <t>P0</t>
        </is>
      </c>
      <c r="H41" s="30" t="inlineStr">
        <is>
          <t>À définir</t>
        </is>
      </c>
      <c r="I41" s="25" t="inlineStr">
        <is>
          <t>Non exécuté</t>
        </is>
      </c>
      <c r="J41" s="30" t="inlineStr"/>
      <c r="K41" s="30" t="inlineStr"/>
      <c r="L41" s="30" t="inlineStr"/>
      <c r="M41" s="30" t="inlineStr"/>
      <c r="N41" s="30" t="inlineStr"/>
    </row>
    <row r="42" ht="75" customHeight="1">
      <c r="A42" s="22" t="inlineStr">
        <is>
          <t>QA-PUB-11-01</t>
        </is>
      </c>
      <c r="B42" s="23" t="inlineStr">
        <is>
          <t>PUB-11</t>
        </is>
      </c>
      <c r="C42" s="23" t="inlineStr">
        <is>
          <t>UX / accessibilité</t>
        </is>
      </c>
      <c r="D42" s="23" t="inlineStr">
        <is>
          <t>Vue PUB-11 ouverte sur navigateur desktop et mobile; données de démonstration isolées.</t>
        </is>
      </c>
      <c r="E42" s="23" t="inlineStr">
        <is>
          <t>1. Ouvrir PUB-11. 2. Inspecter présentation, contraste, libellés, focus et responsive à 375px/1440px. 3. Tester clavier/zoom 200%. 4. Comparer composants : Offres écoles, entreprises, séminaires, devis.</t>
        </is>
      </c>
      <c r="F42" s="23" t="inlineStr">
        <is>
          <t>Présentation conforme à la charte ; aucune action inaccessible au clavier ; pas de débordement ou occultation. Contrôler aussi : Identifier prestations incluses/exclues, minimum groupe et délai de réponse réel.</t>
        </is>
      </c>
      <c r="G42" s="23" t="inlineStr">
        <is>
          <t>P0</t>
        </is>
      </c>
      <c r="H42" s="26" t="inlineStr">
        <is>
          <t>À définir</t>
        </is>
      </c>
      <c r="I42" s="25" t="inlineStr">
        <is>
          <t>Non exécuté</t>
        </is>
      </c>
      <c r="J42" s="26" t="inlineStr"/>
      <c r="K42" s="26" t="inlineStr"/>
      <c r="L42" s="26" t="inlineStr"/>
      <c r="M42" s="26" t="inlineStr"/>
      <c r="N42" s="26" t="inlineStr"/>
    </row>
    <row r="43" ht="75" customHeight="1">
      <c r="A43" s="27" t="inlineStr">
        <is>
          <t>QA-PUB-11-02</t>
        </is>
      </c>
      <c r="B43" s="28" t="inlineStr">
        <is>
          <t>PUB-11</t>
        </is>
      </c>
      <c r="C43" s="28" t="inlineStr">
        <is>
          <t>Fonctionnel / métier</t>
        </is>
      </c>
      <c r="D43" s="28" t="inlineStr">
        <is>
          <t>Identité test adaptée au rôle « Équipe web &amp; contenu », données tests réinitialisées.</t>
        </is>
      </c>
      <c r="E43" s="28" t="inlineStr">
        <is>
          <t>1. Ouvrir PUB-11. 2. Demander devis 30 personnes, option salle et transport; vérifier coordonnées et confirmation. 3. Contrôler persistance et état après actualisation. 4. Tester erreur/réseau si applicable.</t>
        </is>
      </c>
      <c r="F43" s="28" t="inlineStr">
        <is>
          <t>Référence unique; devis sauvegardé côté serveur et retrouvable par l’équipe.</t>
        </is>
      </c>
      <c r="G43" s="28" t="inlineStr">
        <is>
          <t>P0</t>
        </is>
      </c>
      <c r="H43" s="30" t="inlineStr">
        <is>
          <t>À définir</t>
        </is>
      </c>
      <c r="I43" s="25" t="inlineStr">
        <is>
          <t>Non exécuté</t>
        </is>
      </c>
      <c r="J43" s="30" t="inlineStr"/>
      <c r="K43" s="30" t="inlineStr"/>
      <c r="L43" s="30" t="inlineStr"/>
      <c r="M43" s="30" t="inlineStr"/>
      <c r="N43" s="30" t="inlineStr"/>
    </row>
    <row r="44" ht="75" customHeight="1">
      <c r="A44" s="22" t="inlineStr">
        <is>
          <t>QA-PUB-12-01</t>
        </is>
      </c>
      <c r="B44" s="23" t="inlineStr">
        <is>
          <t>PUB-12</t>
        </is>
      </c>
      <c r="C44" s="23" t="inlineStr">
        <is>
          <t>UX / accessibilité</t>
        </is>
      </c>
      <c r="D44" s="23" t="inlineStr">
        <is>
          <t>Vue PUB-12 ouverte sur navigateur desktop et mobile; données de démonstration isolées.</t>
        </is>
      </c>
      <c r="E44" s="23" t="inlineStr">
        <is>
          <t>1. Ouvrir PUB-12. 2. Inspecter présentation, contraste, libellés, focus et responsive à 375px/1440px. 3. Tester clavier/zoom 200%. 4. Comparer composants : CFP : 5 filières, candidature, frais, reconnaissance.</t>
        </is>
      </c>
      <c r="F44" s="23" t="inlineStr">
        <is>
          <t>Présentation conforme à la charte ; aucune action inaccessible au clavier ; pas de débordement ou occultation. Contrôler aussi : Vérifier preuves d’agrément, coûts, calendrier et qualification; éviter garantie d’emploi non prouvée.</t>
        </is>
      </c>
      <c r="G44" s="23" t="inlineStr">
        <is>
          <t>P1</t>
        </is>
      </c>
      <c r="H44" s="26" t="inlineStr">
        <is>
          <t>À définir</t>
        </is>
      </c>
      <c r="I44" s="25" t="inlineStr">
        <is>
          <t>Non exécuté</t>
        </is>
      </c>
      <c r="J44" s="26" t="inlineStr"/>
      <c r="K44" s="26" t="inlineStr"/>
      <c r="L44" s="26" t="inlineStr"/>
      <c r="M44" s="26" t="inlineStr"/>
      <c r="N44" s="26" t="inlineStr"/>
    </row>
    <row r="45" ht="75" customHeight="1">
      <c r="A45" s="27" t="inlineStr">
        <is>
          <t>QA-PUB-12-02</t>
        </is>
      </c>
      <c r="B45" s="28" t="inlineStr">
        <is>
          <t>PUB-12</t>
        </is>
      </c>
      <c r="C45" s="28" t="inlineStr">
        <is>
          <t>Fonctionnel / métier</t>
        </is>
      </c>
      <c r="D45" s="28" t="inlineStr">
        <is>
          <t>Identité test adaptée au rôle « Équipe web &amp; contenu », données tests réinitialisées.</t>
        </is>
      </c>
      <c r="E45" s="28" t="inlineStr">
        <is>
          <t>1. Ouvrir PUB-12. 2. Candidater avec erreurs de champ, pièces jointes et consentement. 3. Contrôler persistance et état après actualisation. 4. Tester erreur/réseau si applicable.</t>
        </is>
      </c>
      <c r="F45" s="28" t="inlineStr">
        <is>
          <t>Candidature complète tracée; pièces reçues; accusé de réception vérifiable.</t>
        </is>
      </c>
      <c r="G45" s="28" t="inlineStr">
        <is>
          <t>P1</t>
        </is>
      </c>
      <c r="H45" s="30" t="inlineStr">
        <is>
          <t>À définir</t>
        </is>
      </c>
      <c r="I45" s="25" t="inlineStr">
        <is>
          <t>Non exécuté</t>
        </is>
      </c>
      <c r="J45" s="30" t="inlineStr"/>
      <c r="K45" s="30" t="inlineStr"/>
      <c r="L45" s="30" t="inlineStr"/>
      <c r="M45" s="30" t="inlineStr"/>
      <c r="N45" s="30" t="inlineStr"/>
    </row>
    <row r="46" ht="75" customHeight="1">
      <c r="A46" s="22" t="inlineStr">
        <is>
          <t>QA-PUB-13-01</t>
        </is>
      </c>
      <c r="B46" s="23" t="inlineStr">
        <is>
          <t>PUB-13</t>
        </is>
      </c>
      <c r="C46" s="23" t="inlineStr">
        <is>
          <t>UX / accessibilité</t>
        </is>
      </c>
      <c r="D46" s="23" t="inlineStr">
        <is>
          <t>Vue PUB-13 ouverte sur navigateur desktop et mobile; données de démonstration isolées.</t>
        </is>
      </c>
      <c r="E46" s="23" t="inlineStr">
        <is>
          <t>1. Ouvrir PUB-13. 2. Inspecter présentation, contraste, libellés, focus et responsive à 375px/1440px. 3. Tester clavier/zoom 200%. 4. Comparer composants : Adresse, horaires, accès, météo, parking, conseils.</t>
        </is>
      </c>
      <c r="F46" s="23" t="inlineStr">
        <is>
          <t>Présentation conforme à la charte ; aucune action inaccessible au clavier ; pas de débordement ou occultation. Contrôler aussi : Retirer mention « temps réel » si donnée non issue d’un flux daté; afficher source trafic.</t>
        </is>
      </c>
      <c r="G46" s="23" t="inlineStr">
        <is>
          <t>P1</t>
        </is>
      </c>
      <c r="H46" s="26" t="inlineStr">
        <is>
          <t>À définir</t>
        </is>
      </c>
      <c r="I46" s="25" t="inlineStr">
        <is>
          <t>Non exécuté</t>
        </is>
      </c>
      <c r="J46" s="26" t="inlineStr"/>
      <c r="K46" s="26" t="inlineStr"/>
      <c r="L46" s="26" t="inlineStr"/>
      <c r="M46" s="26" t="inlineStr"/>
      <c r="N46" s="26" t="inlineStr"/>
    </row>
    <row r="47" ht="75" customHeight="1">
      <c r="A47" s="27" t="inlineStr">
        <is>
          <t>QA-PUB-13-02</t>
        </is>
      </c>
      <c r="B47" s="28" t="inlineStr">
        <is>
          <t>PUB-13</t>
        </is>
      </c>
      <c r="C47" s="28" t="inlineStr">
        <is>
          <t>Fonctionnel / métier</t>
        </is>
      </c>
      <c r="D47" s="28" t="inlineStr">
        <is>
          <t>Identité test adaptée au rôle « Équipe web &amp; contenu », données tests réinitialisées.</t>
        </is>
      </c>
      <c r="E47" s="28" t="inlineStr">
        <is>
          <t>1. Ouvrir PUB-13. 2. Comparer informations pratiques sur plusieurs pages et cas hors connexion. 3. Contrôler persistance et état après actualisation. 4. Tester erreur/réseau si applicable.</t>
        </is>
      </c>
      <c r="F47" s="28" t="inlineStr">
        <is>
          <t>Adresse/horaire/numéro identiques; statut dynamique daté ou qualifié d’indicatif.</t>
        </is>
      </c>
      <c r="G47" s="28" t="inlineStr">
        <is>
          <t>P1</t>
        </is>
      </c>
      <c r="H47" s="30" t="inlineStr">
        <is>
          <t>À définir</t>
        </is>
      </c>
      <c r="I47" s="25" t="inlineStr">
        <is>
          <t>Non exécuté</t>
        </is>
      </c>
      <c r="J47" s="30" t="inlineStr"/>
      <c r="K47" s="30" t="inlineStr"/>
      <c r="L47" s="30" t="inlineStr"/>
      <c r="M47" s="30" t="inlineStr"/>
      <c r="N47" s="30" t="inlineStr"/>
    </row>
    <row r="48" ht="75" customHeight="1">
      <c r="A48" s="22" t="inlineStr">
        <is>
          <t>QA-PUB-14-01</t>
        </is>
      </c>
      <c r="B48" s="23" t="inlineStr">
        <is>
          <t>PUB-14</t>
        </is>
      </c>
      <c r="C48" s="23" t="inlineStr">
        <is>
          <t>UX / accessibilité</t>
        </is>
      </c>
      <c r="D48" s="23" t="inlineStr">
        <is>
          <t>Vue PUB-14 ouverte sur navigateur desktop et mobile; données de démonstration isolées.</t>
        </is>
      </c>
      <c r="E48" s="23" t="inlineStr">
        <is>
          <t>1. Ouvrir PUB-14. 2. Inspecter présentation, contraste, libellés, focus et responsive à 375px/1440px. 3. Tester clavier/zoom 200%. 4. Comparer composants : Galerie photos, provenance, légendes, zoom.</t>
        </is>
      </c>
      <c r="F48" s="23" t="inlineStr">
        <is>
          <t>Présentation conforme à la charte ; aucune action inaccessible au clavier ; pas de débordement ou occultation. Contrôler aussi : Établir banque photo sourcée; alternatives textuelles et crédits/licences internes.</t>
        </is>
      </c>
      <c r="G48" s="23" t="inlineStr">
        <is>
          <t>P1</t>
        </is>
      </c>
      <c r="H48" s="26" t="inlineStr">
        <is>
          <t>À définir</t>
        </is>
      </c>
      <c r="I48" s="25" t="inlineStr">
        <is>
          <t>Non exécuté</t>
        </is>
      </c>
      <c r="J48" s="26" t="inlineStr"/>
      <c r="K48" s="26" t="inlineStr"/>
      <c r="L48" s="26" t="inlineStr"/>
      <c r="M48" s="26" t="inlineStr"/>
      <c r="N48" s="26" t="inlineStr"/>
    </row>
    <row r="49" ht="75" customHeight="1">
      <c r="A49" s="27" t="inlineStr">
        <is>
          <t>QA-PUB-14-02</t>
        </is>
      </c>
      <c r="B49" s="28" t="inlineStr">
        <is>
          <t>PUB-14</t>
        </is>
      </c>
      <c r="C49" s="28" t="inlineStr">
        <is>
          <t>Fonctionnel / métier</t>
        </is>
      </c>
      <c r="D49" s="28" t="inlineStr">
        <is>
          <t>Identité test adaptée au rôle « Équipe web &amp; contenu », données tests réinitialisées.</t>
        </is>
      </c>
      <c r="E49" s="28" t="inlineStr">
        <is>
          <t>1. Ouvrir PUB-14. 2. Ouvrir zoom, changer photo, fermer clavier, tester images manquantes. 3. Contrôler persistance et état après actualisation. 4. Tester erreur/réseau si applicable.</t>
        </is>
      </c>
      <c r="F49" s="28" t="inlineStr">
        <is>
          <t>Aucune image cassée; légende et texte alternatif utile; modal accessible.</t>
        </is>
      </c>
      <c r="G49" s="28" t="inlineStr">
        <is>
          <t>P1</t>
        </is>
      </c>
      <c r="H49" s="30" t="inlineStr">
        <is>
          <t>À définir</t>
        </is>
      </c>
      <c r="I49" s="25" t="inlineStr">
        <is>
          <t>Non exécuté</t>
        </is>
      </c>
      <c r="J49" s="30" t="inlineStr"/>
      <c r="K49" s="30" t="inlineStr"/>
      <c r="L49" s="30" t="inlineStr"/>
      <c r="M49" s="30" t="inlineStr"/>
      <c r="N49" s="30" t="inlineStr"/>
    </row>
    <row r="50" ht="75" customHeight="1">
      <c r="A50" s="22" t="inlineStr">
        <is>
          <t>QA-PUB-15-01</t>
        </is>
      </c>
      <c r="B50" s="23" t="inlineStr">
        <is>
          <t>PUB-15</t>
        </is>
      </c>
      <c r="C50" s="23" t="inlineStr">
        <is>
          <t>UX / accessibilité</t>
        </is>
      </c>
      <c r="D50" s="23" t="inlineStr">
        <is>
          <t>Vue PUB-15 ouverte sur navigateur desktop et mobile; données de démonstration isolées.</t>
        </is>
      </c>
      <c r="E50" s="23" t="inlineStr">
        <is>
          <t>1. Ouvrir PUB-15. 2. Inspecter présentation, contraste, libellés, focus et responsive à 375px/1440px. 3. Tester clavier/zoom 200%. 4. Comparer composants : Liste agenda, filtres semaine, visuels et réservations.</t>
        </is>
      </c>
      <c r="F50" s="23" t="inlineStr">
        <is>
          <t>Présentation conforme à la charte ; aucune action inaccessible au clavier ; pas de débordement ou occultation. Contrôler aussi : Lier événements à dates futures et jauges; étiqueter les exemples et archives.</t>
        </is>
      </c>
      <c r="G50" s="23" t="inlineStr">
        <is>
          <t>P1</t>
        </is>
      </c>
      <c r="H50" s="26" t="inlineStr">
        <is>
          <t>À définir</t>
        </is>
      </c>
      <c r="I50" s="25" t="inlineStr">
        <is>
          <t>Non exécuté</t>
        </is>
      </c>
      <c r="J50" s="26" t="inlineStr"/>
      <c r="K50" s="26" t="inlineStr"/>
      <c r="L50" s="26" t="inlineStr"/>
      <c r="M50" s="26" t="inlineStr"/>
      <c r="N50" s="26" t="inlineStr"/>
    </row>
    <row r="51" ht="75" customHeight="1">
      <c r="A51" s="27" t="inlineStr">
        <is>
          <t>QA-PUB-15-02</t>
        </is>
      </c>
      <c r="B51" s="28" t="inlineStr">
        <is>
          <t>PUB-15</t>
        </is>
      </c>
      <c r="C51" s="28" t="inlineStr">
        <is>
          <t>Fonctionnel / métier</t>
        </is>
      </c>
      <c r="D51" s="28" t="inlineStr">
        <is>
          <t>Identité test adaptée au rôle « Équipe web &amp; contenu », données tests réinitialisées.</t>
        </is>
      </c>
      <c r="E51" s="28" t="inlineStr">
        <is>
          <t>1. Ouvrir PUB-15. 2. Filtrer par jour, tester agenda vide et réserver un événement. 3. Contrôler persistance et état après actualisation. 4. Tester erreur/réseau si applicable.</t>
        </is>
      </c>
      <c r="F51" s="28" t="inlineStr">
        <is>
          <t>Aucun événement expiré présenté comme à venir; CTA désactivé si complet.</t>
        </is>
      </c>
      <c r="G51" s="28" t="inlineStr">
        <is>
          <t>P1</t>
        </is>
      </c>
      <c r="H51" s="30" t="inlineStr">
        <is>
          <t>À définir</t>
        </is>
      </c>
      <c r="I51" s="25" t="inlineStr">
        <is>
          <t>Non exécuté</t>
        </is>
      </c>
      <c r="J51" s="30" t="inlineStr"/>
      <c r="K51" s="30" t="inlineStr"/>
      <c r="L51" s="30" t="inlineStr"/>
      <c r="M51" s="30" t="inlineStr"/>
      <c r="N51" s="30" t="inlineStr"/>
    </row>
    <row r="52" ht="75" customHeight="1">
      <c r="A52" s="22" t="inlineStr">
        <is>
          <t>QA-PUB-16-01</t>
        </is>
      </c>
      <c r="B52" s="23" t="inlineStr">
        <is>
          <t>PUB-16</t>
        </is>
      </c>
      <c r="C52" s="23" t="inlineStr">
        <is>
          <t>UX / accessibilité</t>
        </is>
      </c>
      <c r="D52" s="23" t="inlineStr">
        <is>
          <t>Vue PUB-16 ouverte sur navigateur desktop et mobile; données de démonstration isolées.</t>
        </is>
      </c>
      <c r="E52" s="23" t="inlineStr">
        <is>
          <t>1. Ouvrir PUB-16. 2. Inspecter présentation, contraste, libellés, focus et responsive à 375px/1440px. 3. Tester clavier/zoom 200%. 4. Comparer composants : Fiche événement, horaire, lieu, programme, inscription.</t>
        </is>
      </c>
      <c r="F52" s="23" t="inlineStr">
        <is>
          <t>Présentation conforme à la charte ; aucune action inaccessible au clavier ; pas de débordement ou occultation. Contrôler aussi : Afficher conditions et disponibilité en amont; partage de lien direct.</t>
        </is>
      </c>
      <c r="G52" s="23" t="inlineStr">
        <is>
          <t>P1</t>
        </is>
      </c>
      <c r="H52" s="26" t="inlineStr">
        <is>
          <t>À définir</t>
        </is>
      </c>
      <c r="I52" s="25" t="inlineStr">
        <is>
          <t>Non exécuté</t>
        </is>
      </c>
      <c r="J52" s="26" t="inlineStr"/>
      <c r="K52" s="26" t="inlineStr"/>
      <c r="L52" s="26" t="inlineStr"/>
      <c r="M52" s="26" t="inlineStr"/>
      <c r="N52" s="26" t="inlineStr"/>
    </row>
    <row r="53" ht="75" customHeight="1">
      <c r="A53" s="27" t="inlineStr">
        <is>
          <t>QA-PUB-16-02</t>
        </is>
      </c>
      <c r="B53" s="28" t="inlineStr">
        <is>
          <t>PUB-16</t>
        </is>
      </c>
      <c r="C53" s="28" t="inlineStr">
        <is>
          <t>Fonctionnel / métier</t>
        </is>
      </c>
      <c r="D53" s="28" t="inlineStr">
        <is>
          <t>Identité test adaptée au rôle « Équipe web &amp; contenu », données tests réinitialisées.</t>
        </is>
      </c>
      <c r="E53" s="28" t="inlineStr">
        <is>
          <t>1. Ouvrir PUB-16. 2. Ouvrir événement depuis l’agenda et revenir sans perdre filtres. 3. Contrôler persistance et état après actualisation. 4. Tester erreur/réseau si applicable.</t>
        </is>
      </c>
      <c r="F53" s="28" t="inlineStr">
        <is>
          <t>Programme/date/prix identiques dans liste, détail et récapitulatif.</t>
        </is>
      </c>
      <c r="G53" s="28" t="inlineStr">
        <is>
          <t>P1</t>
        </is>
      </c>
      <c r="H53" s="30" t="inlineStr">
        <is>
          <t>À définir</t>
        </is>
      </c>
      <c r="I53" s="25" t="inlineStr">
        <is>
          <t>Non exécuté</t>
        </is>
      </c>
      <c r="J53" s="30" t="inlineStr"/>
      <c r="K53" s="30" t="inlineStr"/>
      <c r="L53" s="30" t="inlineStr"/>
      <c r="M53" s="30" t="inlineStr"/>
      <c r="N53" s="30" t="inlineStr"/>
    </row>
    <row r="54" ht="75" customHeight="1">
      <c r="A54" s="22" t="inlineStr">
        <is>
          <t>QA-PUB-17-01</t>
        </is>
      </c>
      <c r="B54" s="23" t="inlineStr">
        <is>
          <t>PUB-17</t>
        </is>
      </c>
      <c r="C54" s="23" t="inlineStr">
        <is>
          <t>UX / accessibilité</t>
        </is>
      </c>
      <c r="D54" s="23" t="inlineStr">
        <is>
          <t>Vue PUB-17 ouverte sur navigateur desktop et mobile; données de démonstration isolées.</t>
        </is>
      </c>
      <c r="E54" s="23" t="inlineStr">
        <is>
          <t>1. Ouvrir PUB-17. 2. Inspecter présentation, contraste, libellés, focus et responsive à 375px/1440px. 3. Tester clavier/zoom 200%. 4. Comparer composants : FAQ, accordéons, recherche, liens internes.</t>
        </is>
      </c>
      <c r="F54" s="23" t="inlineStr">
        <is>
          <t>Présentation conforme à la charte ; aucune action inaccessible au clavier ; pas de débordement ou occultation. Contrôler aussi : Réduire redondances, classer questions par thème, gérer aucun résultat.</t>
        </is>
      </c>
      <c r="G54" s="23" t="inlineStr">
        <is>
          <t>P2</t>
        </is>
      </c>
      <c r="H54" s="26" t="inlineStr">
        <is>
          <t>À définir</t>
        </is>
      </c>
      <c r="I54" s="25" t="inlineStr">
        <is>
          <t>Non exécuté</t>
        </is>
      </c>
      <c r="J54" s="26" t="inlineStr"/>
      <c r="K54" s="26" t="inlineStr"/>
      <c r="L54" s="26" t="inlineStr"/>
      <c r="M54" s="26" t="inlineStr"/>
      <c r="N54" s="26" t="inlineStr"/>
    </row>
    <row r="55" ht="75" customHeight="1">
      <c r="A55" s="27" t="inlineStr">
        <is>
          <t>QA-PUB-17-02</t>
        </is>
      </c>
      <c r="B55" s="28" t="inlineStr">
        <is>
          <t>PUB-17</t>
        </is>
      </c>
      <c r="C55" s="28" t="inlineStr">
        <is>
          <t>Fonctionnel / métier</t>
        </is>
      </c>
      <c r="D55" s="28" t="inlineStr">
        <is>
          <t>Identité test adaptée au rôle « Équipe web &amp; contenu », données tests réinitialisées.</t>
        </is>
      </c>
      <c r="E55" s="28" t="inlineStr">
        <is>
          <t>1. Ouvrir PUB-17. 2. Rechercher horaires, pluie, billets; tester clavier et ouverture multiple. 3. Contrôler persistance et état après actualisation. 4. Tester erreur/réseau si applicable.</t>
        </is>
      </c>
      <c r="F55" s="28" t="inlineStr">
        <is>
          <t>Réponse trouvée en ≤2 interactions utiles ou message clair si absent.</t>
        </is>
      </c>
      <c r="G55" s="28" t="inlineStr">
        <is>
          <t>P2</t>
        </is>
      </c>
      <c r="H55" s="30" t="inlineStr">
        <is>
          <t>À définir</t>
        </is>
      </c>
      <c r="I55" s="25" t="inlineStr">
        <is>
          <t>Non exécuté</t>
        </is>
      </c>
      <c r="J55" s="30" t="inlineStr"/>
      <c r="K55" s="30" t="inlineStr"/>
      <c r="L55" s="30" t="inlineStr"/>
      <c r="M55" s="30" t="inlineStr"/>
      <c r="N55" s="30" t="inlineStr"/>
    </row>
    <row r="56" ht="75" customHeight="1">
      <c r="A56" s="22" t="inlineStr">
        <is>
          <t>QA-PUB-18-01</t>
        </is>
      </c>
      <c r="B56" s="23" t="inlineStr">
        <is>
          <t>PUB-18</t>
        </is>
      </c>
      <c r="C56" s="23" t="inlineStr">
        <is>
          <t>UX / accessibilité</t>
        </is>
      </c>
      <c r="D56" s="23" t="inlineStr">
        <is>
          <t>Vue PUB-18 ouverte sur navigateur desktop et mobile; données de démonstration isolées.</t>
        </is>
      </c>
      <c r="E56" s="23" t="inlineStr">
        <is>
          <t>1. Ouvrir PUB-18. 2. Inspecter présentation, contraste, libellés, focus et responsive à 375px/1440px. 3. Tester clavier/zoom 200%. 4. Comparer composants : Contacts, carte, WhatsApp, formulaire, itinéraire.</t>
        </is>
      </c>
      <c r="F56" s="23" t="inlineStr">
        <is>
          <t>Présentation conforme à la charte ; aucune action inaccessible au clavier ; pas de débordement ou occultation. Contrôler aussi : Clarifier canal le plus rapide et protéger le formulaire contre spam.</t>
        </is>
      </c>
      <c r="G56" s="23" t="inlineStr">
        <is>
          <t>P1</t>
        </is>
      </c>
      <c r="H56" s="26" t="inlineStr">
        <is>
          <t>À définir</t>
        </is>
      </c>
      <c r="I56" s="25" t="inlineStr">
        <is>
          <t>Non exécuté</t>
        </is>
      </c>
      <c r="J56" s="26" t="inlineStr"/>
      <c r="K56" s="26" t="inlineStr"/>
      <c r="L56" s="26" t="inlineStr"/>
      <c r="M56" s="26" t="inlineStr"/>
      <c r="N56" s="26" t="inlineStr"/>
    </row>
    <row r="57" ht="75" customHeight="1">
      <c r="A57" s="27" t="inlineStr">
        <is>
          <t>QA-PUB-18-02</t>
        </is>
      </c>
      <c r="B57" s="28" t="inlineStr">
        <is>
          <t>PUB-18</t>
        </is>
      </c>
      <c r="C57" s="28" t="inlineStr">
        <is>
          <t>Fonctionnel / métier</t>
        </is>
      </c>
      <c r="D57" s="28" t="inlineStr">
        <is>
          <t>Identité test adaptée au rôle « Équipe web &amp; contenu », données tests réinitialisées.</t>
        </is>
      </c>
      <c r="E57" s="28" t="inlineStr">
        <is>
          <t>1. Ouvrir PUB-18. 2. Envoyer demande test avec numéro +237 et vérifier confirmation réelle. 3. Contrôler persistance et état après actualisation. 4. Tester erreur/réseau si applicable.</t>
        </is>
      </c>
      <c r="F57" s="28" t="inlineStr">
        <is>
          <t>Dossier de contact enregistré, sans fuite de données, et réponse traçable.</t>
        </is>
      </c>
      <c r="G57" s="28" t="inlineStr">
        <is>
          <t>P1</t>
        </is>
      </c>
      <c r="H57" s="30" t="inlineStr">
        <is>
          <t>À définir</t>
        </is>
      </c>
      <c r="I57" s="25" t="inlineStr">
        <is>
          <t>Non exécuté</t>
        </is>
      </c>
      <c r="J57" s="30" t="inlineStr"/>
      <c r="K57" s="30" t="inlineStr"/>
      <c r="L57" s="30" t="inlineStr"/>
      <c r="M57" s="30" t="inlineStr"/>
      <c r="N57" s="30" t="inlineStr"/>
    </row>
    <row r="58" ht="75" customHeight="1">
      <c r="A58" s="22" t="inlineStr">
        <is>
          <t>QA-PUB-19-01</t>
        </is>
      </c>
      <c r="B58" s="23" t="inlineStr">
        <is>
          <t>PUB-19</t>
        </is>
      </c>
      <c r="C58" s="23" t="inlineStr">
        <is>
          <t>UX / accessibilité</t>
        </is>
      </c>
      <c r="D58" s="23" t="inlineStr">
        <is>
          <t>Vue PUB-19 ouverte sur navigateur desktop et mobile; données de démonstration isolées.</t>
        </is>
      </c>
      <c r="E58" s="23" t="inlineStr">
        <is>
          <t>1. Ouvrir PUB-19. 2. Inspecter présentation, contraste, libellés, focus et responsive à 375px/1440px. 3. Tester clavier/zoom 200%. 4. Comparer composants : Recherche globale, suggestions et état vide.</t>
        </is>
      </c>
      <c r="F58" s="23" t="inlineStr">
        <is>
          <t>Présentation conforme à la charte ; aucune action inaccessible au clavier ; pas de débordement ou occultation. Contrôler aussi : Assainir les chaînes insérées; classer résultats et afficher recherche sans résultat.</t>
        </is>
      </c>
      <c r="G58" s="23" t="inlineStr">
        <is>
          <t>P0</t>
        </is>
      </c>
      <c r="H58" s="26" t="inlineStr">
        <is>
          <t>À définir</t>
        </is>
      </c>
      <c r="I58" s="25" t="inlineStr">
        <is>
          <t>Non exécuté</t>
        </is>
      </c>
      <c r="J58" s="26" t="inlineStr"/>
      <c r="K58" s="26" t="inlineStr"/>
      <c r="L58" s="26" t="inlineStr"/>
      <c r="M58" s="26" t="inlineStr"/>
      <c r="N58" s="26" t="inlineStr"/>
    </row>
    <row r="59" ht="75" customHeight="1">
      <c r="A59" s="27" t="inlineStr">
        <is>
          <t>QA-PUB-19-02</t>
        </is>
      </c>
      <c r="B59" s="28" t="inlineStr">
        <is>
          <t>PUB-19</t>
        </is>
      </c>
      <c r="C59" s="28" t="inlineStr">
        <is>
          <t>Fonctionnel / métier</t>
        </is>
      </c>
      <c r="D59" s="28" t="inlineStr">
        <is>
          <t>Identité test adaptée au rôle « Équipe web &amp; contenu », données tests réinitialisées.</t>
        </is>
      </c>
      <c r="E59" s="28" t="inlineStr">
        <is>
          <t>1. Ouvrir PUB-19. 2. Tester recherche avec caractères spéciaux, mot inconnu, termes fréquents. 3. Contrôler persistance et état après actualisation. 4. Tester erreur/réseau si applicable.</t>
        </is>
      </c>
      <c r="F59" s="28" t="inlineStr">
        <is>
          <t>Résultats pertinents; toute saisie est affichée comme texte, jamais exécutée.</t>
        </is>
      </c>
      <c r="G59" s="28" t="inlineStr">
        <is>
          <t>P0</t>
        </is>
      </c>
      <c r="H59" s="30" t="inlineStr">
        <is>
          <t>À définir</t>
        </is>
      </c>
      <c r="I59" s="25" t="inlineStr">
        <is>
          <t>Non exécuté</t>
        </is>
      </c>
      <c r="J59" s="30" t="inlineStr"/>
      <c r="K59" s="30" t="inlineStr"/>
      <c r="L59" s="30" t="inlineStr"/>
      <c r="M59" s="30" t="inlineStr"/>
      <c r="N59" s="30" t="inlineStr"/>
    </row>
    <row r="60" ht="75" customHeight="1">
      <c r="A60" s="22" t="inlineStr">
        <is>
          <t>QA-PUB-20-01</t>
        </is>
      </c>
      <c r="B60" s="23" t="inlineStr">
        <is>
          <t>PUB-20</t>
        </is>
      </c>
      <c r="C60" s="23" t="inlineStr">
        <is>
          <t>UX / accessibilité</t>
        </is>
      </c>
      <c r="D60" s="23" t="inlineStr">
        <is>
          <t>Vue PUB-20 ouverte sur navigateur desktop et mobile; données de démonstration isolées.</t>
        </is>
      </c>
      <c r="E60" s="23" t="inlineStr">
        <is>
          <t>1. Ouvrir PUB-20. 2. Inspecter présentation, contraste, libellés, focus et responsive à 375px/1440px. 3. Tester clavier/zoom 200%. 4. Comparer composants : Mentions légales, confidentialité, CGV, cookies.</t>
        </is>
      </c>
      <c r="F60" s="23" t="inlineStr">
        <is>
          <t>Présentation conforme à la charte ; aucune action inaccessible au clavier ; pas de débordement ou occultation. Contrôler aussi : Vérifier présence textes complets, données personnelles, conservation, politique cookies.</t>
        </is>
      </c>
      <c r="G60" s="23" t="inlineStr">
        <is>
          <t>P0</t>
        </is>
      </c>
      <c r="H60" s="26" t="inlineStr">
        <is>
          <t>À définir</t>
        </is>
      </c>
      <c r="I60" s="25" t="inlineStr">
        <is>
          <t>Non exécuté</t>
        </is>
      </c>
      <c r="J60" s="26" t="inlineStr"/>
      <c r="K60" s="26" t="inlineStr"/>
      <c r="L60" s="26" t="inlineStr"/>
      <c r="M60" s="26" t="inlineStr"/>
      <c r="N60" s="26" t="inlineStr"/>
    </row>
    <row r="61" ht="75" customHeight="1">
      <c r="A61" s="27" t="inlineStr">
        <is>
          <t>QA-PUB-20-02</t>
        </is>
      </c>
      <c r="B61" s="28" t="inlineStr">
        <is>
          <t>PUB-20</t>
        </is>
      </c>
      <c r="C61" s="28" t="inlineStr">
        <is>
          <t>Fonctionnel / métier</t>
        </is>
      </c>
      <c r="D61" s="28" t="inlineStr">
        <is>
          <t>Identité test adaptée au rôle « Équipe web &amp; contenu », données tests réinitialisées.</t>
        </is>
      </c>
      <c r="E61" s="28" t="inlineStr">
        <is>
          <t>1. Ouvrir PUB-20. 2. Ouvrir chaque document depuis le footer et contrôler version/édition. 3. Contrôler persistance et état après actualisation. 4. Tester erreur/réseau si applicable.</t>
        </is>
      </c>
      <c r="F61" s="28" t="inlineStr">
        <is>
          <t>Mentions consultables; politique cohérente avec flux WhatsApp, paiement et compte.</t>
        </is>
      </c>
      <c r="G61" s="28" t="inlineStr">
        <is>
          <t>P0</t>
        </is>
      </c>
      <c r="H61" s="30" t="inlineStr">
        <is>
          <t>À définir</t>
        </is>
      </c>
      <c r="I61" s="25" t="inlineStr">
        <is>
          <t>Non exécuté</t>
        </is>
      </c>
      <c r="J61" s="30" t="inlineStr"/>
      <c r="K61" s="30" t="inlineStr"/>
      <c r="L61" s="30" t="inlineStr"/>
      <c r="M61" s="30" t="inlineStr"/>
      <c r="N61" s="30" t="inlineStr"/>
    </row>
    <row r="62" ht="75" customHeight="1">
      <c r="A62" s="22" t="inlineStr">
        <is>
          <t>QA-PUB-21-01</t>
        </is>
      </c>
      <c r="B62" s="23" t="inlineStr">
        <is>
          <t>PUB-21</t>
        </is>
      </c>
      <c r="C62" s="23" t="inlineStr">
        <is>
          <t>UX / accessibilité</t>
        </is>
      </c>
      <c r="D62" s="23" t="inlineStr">
        <is>
          <t>Vue PUB-21 ouverte sur navigateur desktop et mobile; données de démonstration isolées.</t>
        </is>
      </c>
      <c r="E62" s="23" t="inlineStr">
        <is>
          <t>1. Ouvrir PUB-21. 2. Inspecter présentation, contraste, libellés, focus et responsive à 375px/1440px. 3. Tester clavier/zoom 200%. 4. Comparer composants : 404, lien accueil, recherche, navigation.</t>
        </is>
      </c>
      <c r="F62" s="23" t="inlineStr">
        <is>
          <t>Présentation conforme à la charte ; aucune action inaccessible au clavier ; pas de débordement ou occultation. Contrôler aussi : Implémenter véritable réponse 404 et navigation de retour.</t>
        </is>
      </c>
      <c r="G62" s="23" t="inlineStr">
        <is>
          <t>P1</t>
        </is>
      </c>
      <c r="H62" s="26" t="inlineStr">
        <is>
          <t>À définir</t>
        </is>
      </c>
      <c r="I62" s="25" t="inlineStr">
        <is>
          <t>Non exécuté</t>
        </is>
      </c>
      <c r="J62" s="26" t="inlineStr"/>
      <c r="K62" s="26" t="inlineStr"/>
      <c r="L62" s="26" t="inlineStr"/>
      <c r="M62" s="26" t="inlineStr"/>
      <c r="N62" s="26" t="inlineStr"/>
    </row>
    <row r="63" ht="75" customHeight="1">
      <c r="A63" s="27" t="inlineStr">
        <is>
          <t>QA-PUB-21-02</t>
        </is>
      </c>
      <c r="B63" s="28" t="inlineStr">
        <is>
          <t>PUB-21</t>
        </is>
      </c>
      <c r="C63" s="28" t="inlineStr">
        <is>
          <t>Fonctionnel / métier</t>
        </is>
      </c>
      <c r="D63" s="28" t="inlineStr">
        <is>
          <t>Identité test adaptée au rôle « Équipe web &amp; contenu », données tests réinitialisées.</t>
        </is>
      </c>
      <c r="E63" s="28" t="inlineStr">
        <is>
          <t>1. Ouvrir PUB-21. 2. Saisir URL inconnue directement, puis revenir à l’accueil. 3. Contrôler persistance et état après actualisation. 4. Tester erreur/réseau si applicable.</t>
        </is>
      </c>
      <c r="F63" s="28" t="inlineStr">
        <is>
          <t>Réponse HTTP 404; message clair; CTA accueil actif.</t>
        </is>
      </c>
      <c r="G63" s="28" t="inlineStr">
        <is>
          <t>P1</t>
        </is>
      </c>
      <c r="H63" s="30" t="inlineStr">
        <is>
          <t>À définir</t>
        </is>
      </c>
      <c r="I63" s="25" t="inlineStr">
        <is>
          <t>Non exécuté</t>
        </is>
      </c>
      <c r="J63" s="30" t="inlineStr"/>
      <c r="K63" s="30" t="inlineStr"/>
      <c r="L63" s="30" t="inlineStr"/>
      <c r="M63" s="30" t="inlineStr"/>
      <c r="N63" s="30" t="inlineStr"/>
    </row>
    <row r="64" ht="75" customHeight="1">
      <c r="A64" s="22" t="inlineStr">
        <is>
          <t>QA-PUB-22-01</t>
        </is>
      </c>
      <c r="B64" s="23" t="inlineStr">
        <is>
          <t>PUB-22</t>
        </is>
      </c>
      <c r="C64" s="23" t="inlineStr">
        <is>
          <t>UX / accessibilité</t>
        </is>
      </c>
      <c r="D64" s="23" t="inlineStr">
        <is>
          <t>Vue PUB-22 ouverte sur navigateur desktop et mobile; données de démonstration isolées.</t>
        </is>
      </c>
      <c r="E64" s="23" t="inlineStr">
        <is>
          <t>1. Ouvrir PUB-22. 2. Inspecter présentation, contraste, libellés, focus et responsive à 375px/1440px. 3. Tester clavier/zoom 200%. 4. Comparer composants : Maintenance, indisponibilité et contact de secours.</t>
        </is>
      </c>
      <c r="F64" s="23" t="inlineStr">
        <is>
          <t>Présentation conforme à la charte ; aucune action inaccessible au clavier ; pas de débordement ou occultation. Contrôler aussi : Prévoir page statique indépendante du backend et statut service.</t>
        </is>
      </c>
      <c r="G64" s="23" t="inlineStr">
        <is>
          <t>P1</t>
        </is>
      </c>
      <c r="H64" s="26" t="inlineStr">
        <is>
          <t>À définir</t>
        </is>
      </c>
      <c r="I64" s="25" t="inlineStr">
        <is>
          <t>Non exécuté</t>
        </is>
      </c>
      <c r="J64" s="26" t="inlineStr"/>
      <c r="K64" s="26" t="inlineStr"/>
      <c r="L64" s="26" t="inlineStr"/>
      <c r="M64" s="26" t="inlineStr"/>
      <c r="N64" s="26" t="inlineStr"/>
    </row>
    <row r="65" ht="75" customHeight="1">
      <c r="A65" s="27" t="inlineStr">
        <is>
          <t>QA-PUB-22-02</t>
        </is>
      </c>
      <c r="B65" s="28" t="inlineStr">
        <is>
          <t>PUB-22</t>
        </is>
      </c>
      <c r="C65" s="28" t="inlineStr">
        <is>
          <t>Fonctionnel / métier</t>
        </is>
      </c>
      <c r="D65" s="28" t="inlineStr">
        <is>
          <t>Identité test adaptée au rôle « Équipe web &amp; contenu », données tests réinitialisées.</t>
        </is>
      </c>
      <c r="E65" s="28" t="inlineStr">
        <is>
          <t>1. Ouvrir PUB-22. 2. Simuler coupure serveur/front/API et lire le message de secours. 3. Contrôler persistance et état après actualisation. 4. Tester erreur/réseau si applicable.</t>
        </is>
      </c>
      <c r="F65" s="28" t="inlineStr">
        <is>
          <t>Page accessible sans API; statut non trompeur; contact et prochaines actions visibles.</t>
        </is>
      </c>
      <c r="G65" s="28" t="inlineStr">
        <is>
          <t>P1</t>
        </is>
      </c>
      <c r="H65" s="30" t="inlineStr">
        <is>
          <t>À définir</t>
        </is>
      </c>
      <c r="I65" s="25" t="inlineStr">
        <is>
          <t>Non exécuté</t>
        </is>
      </c>
      <c r="J65" s="30" t="inlineStr"/>
      <c r="K65" s="30" t="inlineStr"/>
      <c r="L65" s="30" t="inlineStr"/>
      <c r="M65" s="30" t="inlineStr"/>
      <c r="N65" s="30" t="inlineStr"/>
    </row>
    <row r="66" ht="75" customHeight="1">
      <c r="A66" s="22" t="inlineStr">
        <is>
          <t>QA-RES-01-01</t>
        </is>
      </c>
      <c r="B66" s="23" t="inlineStr">
        <is>
          <t>RES-01</t>
        </is>
      </c>
      <c r="C66" s="23" t="inlineStr">
        <is>
          <t>UX / accessibilité</t>
        </is>
      </c>
      <c r="D66" s="23" t="inlineStr">
        <is>
          <t>Vue RES-01 ouverte sur navigateur desktop et mobile; données de démonstration isolées.</t>
        </is>
      </c>
      <c r="E66" s="23" t="inlineStr">
        <is>
          <t>1. Ouvrir RES-01. 2. Inspecter présentation, contraste, libellés, focus et responsive à 375px/1440px. 3. Tester clavier/zoom 200%. 4. Comparer composants : Assistant de visite, étapes, choix de formule.</t>
        </is>
      </c>
      <c r="F66" s="23" t="inlineStr">
        <is>
          <t>Présentation conforme à la charte ; aucune action inaccessible au clavier ; pas de débordement ou occultation. Contrôler aussi : Afficher progression, récapitulatif et reprise sans recommencer.</t>
        </is>
      </c>
      <c r="G66" s="23" t="inlineStr">
        <is>
          <t>P1</t>
        </is>
      </c>
      <c r="H66" s="26" t="inlineStr">
        <is>
          <t>À définir</t>
        </is>
      </c>
      <c r="I66" s="25" t="inlineStr">
        <is>
          <t>Non exécuté</t>
        </is>
      </c>
      <c r="J66" s="26" t="inlineStr"/>
      <c r="K66" s="26" t="inlineStr"/>
      <c r="L66" s="26" t="inlineStr"/>
      <c r="M66" s="26" t="inlineStr"/>
      <c r="N66" s="26" t="inlineStr"/>
    </row>
    <row r="67" ht="75" customHeight="1">
      <c r="A67" s="27" t="inlineStr">
        <is>
          <t>QA-RES-01-02</t>
        </is>
      </c>
      <c r="B67" s="28" t="inlineStr">
        <is>
          <t>RES-01</t>
        </is>
      </c>
      <c r="C67" s="28" t="inlineStr">
        <is>
          <t>Fonctionnel / métier</t>
        </is>
      </c>
      <c r="D67" s="28" t="inlineStr">
        <is>
          <t>Identité test adaptée au rôle « Produit &amp; paiements », données tests réinitialisées.</t>
        </is>
      </c>
      <c r="E67" s="28" t="inlineStr">
        <is>
          <t>1. Ouvrir RES-01. 2. Démarrer par Accueil et revenir depuis le résumé. 3. Contrôler persistance et état après actualisation. 4. Tester erreur/réseau si applicable.</t>
        </is>
      </c>
      <c r="F67" s="28" t="inlineStr">
        <is>
          <t>Aucune donnée non sensible perdue; progression claire; retour cohérent.</t>
        </is>
      </c>
      <c r="G67" s="28" t="inlineStr">
        <is>
          <t>P1</t>
        </is>
      </c>
      <c r="H67" s="30" t="inlineStr">
        <is>
          <t>À définir</t>
        </is>
      </c>
      <c r="I67" s="25" t="inlineStr">
        <is>
          <t>Non exécuté</t>
        </is>
      </c>
      <c r="J67" s="30" t="inlineStr"/>
      <c r="K67" s="30" t="inlineStr"/>
      <c r="L67" s="30" t="inlineStr"/>
      <c r="M67" s="30" t="inlineStr"/>
      <c r="N67" s="30" t="inlineStr"/>
    </row>
    <row r="68" ht="75" customHeight="1">
      <c r="A68" s="22" t="inlineStr">
        <is>
          <t>QA-RES-02-01</t>
        </is>
      </c>
      <c r="B68" s="23" t="inlineStr">
        <is>
          <t>RES-02</t>
        </is>
      </c>
      <c r="C68" s="23" t="inlineStr">
        <is>
          <t>UX / accessibilité</t>
        </is>
      </c>
      <c r="D68" s="23" t="inlineStr">
        <is>
          <t>Vue RES-02 ouverte sur navigateur desktop et mobile; données de démonstration isolées.</t>
        </is>
      </c>
      <c r="E68" s="23" t="inlineStr">
        <is>
          <t>1. Ouvrir RES-02. 2. Inspecter présentation, contraste, libellés, focus et responsive à 375px/1440px. 3. Tester clavier/zoom 200%. 4. Comparer composants : Date, créneau, adultes, enfants, tout-petits.</t>
        </is>
      </c>
      <c r="F68" s="23" t="inlineStr">
        <is>
          <t>Présentation conforme à la charte ; aucune action inaccessible au clavier ; pas de débordement ou occultation. Contrôler aussi : Interdire date passée/fermeture/lundi et quotas dépassés; expliciter âge enfant.</t>
        </is>
      </c>
      <c r="G68" s="23" t="inlineStr">
        <is>
          <t>P0</t>
        </is>
      </c>
      <c r="H68" s="26" t="inlineStr">
        <is>
          <t>À définir</t>
        </is>
      </c>
      <c r="I68" s="25" t="inlineStr">
        <is>
          <t>Non exécuté</t>
        </is>
      </c>
      <c r="J68" s="26" t="inlineStr"/>
      <c r="K68" s="26" t="inlineStr"/>
      <c r="L68" s="26" t="inlineStr"/>
      <c r="M68" s="26" t="inlineStr"/>
      <c r="N68" s="26" t="inlineStr"/>
    </row>
    <row r="69" ht="75" customHeight="1">
      <c r="A69" s="27" t="inlineStr">
        <is>
          <t>QA-RES-02-02</t>
        </is>
      </c>
      <c r="B69" s="28" t="inlineStr">
        <is>
          <t>RES-02</t>
        </is>
      </c>
      <c r="C69" s="28" t="inlineStr">
        <is>
          <t>Fonctionnel / métier</t>
        </is>
      </c>
      <c r="D69" s="28" t="inlineStr">
        <is>
          <t>Identité test adaptée au rôle « Produit &amp; paiements », données tests réinitialisées.</t>
        </is>
      </c>
      <c r="E69" s="28" t="inlineStr">
        <is>
          <t>1. Ouvrir RES-02. 2. Tester lundi, hier, jour complet, 0 participant, 50 participants. 3. Contrôler persistance et état après actualisation. 4. Tester erreur/réseau si applicable.</t>
        </is>
      </c>
      <c r="F69" s="28" t="inlineStr">
        <is>
          <t>Rejet explicite des dates impossibles; effectif et date propagés au devis.</t>
        </is>
      </c>
      <c r="G69" s="28" t="inlineStr">
        <is>
          <t>P0</t>
        </is>
      </c>
      <c r="H69" s="30" t="inlineStr">
        <is>
          <t>À définir</t>
        </is>
      </c>
      <c r="I69" s="25" t="inlineStr">
        <is>
          <t>Non exécuté</t>
        </is>
      </c>
      <c r="J69" s="30" t="inlineStr"/>
      <c r="K69" s="30" t="inlineStr"/>
      <c r="L69" s="30" t="inlineStr"/>
      <c r="M69" s="30" t="inlineStr"/>
      <c r="N69" s="30" t="inlineStr"/>
    </row>
    <row r="70" ht="75" customHeight="1">
      <c r="A70" s="22" t="inlineStr">
        <is>
          <t>QA-RES-03-01</t>
        </is>
      </c>
      <c r="B70" s="23" t="inlineStr">
        <is>
          <t>RES-03</t>
        </is>
      </c>
      <c r="C70" s="23" t="inlineStr">
        <is>
          <t>UX / accessibilité</t>
        </is>
      </c>
      <c r="D70" s="23" t="inlineStr">
        <is>
          <t>Vue RES-03 ouverte sur navigateur desktop et mobile; données de démonstration isolées.</t>
        </is>
      </c>
      <c r="E70" s="23" t="inlineStr">
        <is>
          <t>1. Ouvrir RES-03. 2. Inspecter présentation, contraste, libellés, focus et responsive à 375px/1440px. 3. Tester clavier/zoom 200%. 4. Comparer composants : Pass et activités à la carte, compteurs, prix FCFA.</t>
        </is>
      </c>
      <c r="F70" s="23" t="inlineStr">
        <is>
          <t>Présentation conforme à la charte ; aucune action inaccessible au clavier ; pas de débordement ou occultation. Contrôler aussi : Centraliser règles tarifaires et protéger la logique de calcul côté serveur.</t>
        </is>
      </c>
      <c r="G70" s="23" t="inlineStr">
        <is>
          <t>P0</t>
        </is>
      </c>
      <c r="H70" s="26" t="inlineStr">
        <is>
          <t>À définir</t>
        </is>
      </c>
      <c r="I70" s="25" t="inlineStr">
        <is>
          <t>Non exécuté</t>
        </is>
      </c>
      <c r="J70" s="26" t="inlineStr"/>
      <c r="K70" s="26" t="inlineStr"/>
      <c r="L70" s="26" t="inlineStr"/>
      <c r="M70" s="26" t="inlineStr"/>
      <c r="N70" s="26" t="inlineStr"/>
    </row>
    <row r="71" ht="75" customHeight="1">
      <c r="A71" s="27" t="inlineStr">
        <is>
          <t>QA-RES-03-02</t>
        </is>
      </c>
      <c r="B71" s="28" t="inlineStr">
        <is>
          <t>RES-03</t>
        </is>
      </c>
      <c r="C71" s="28" t="inlineStr">
        <is>
          <t>Fonctionnel / métier</t>
        </is>
      </c>
      <c r="D71" s="28" t="inlineStr">
        <is>
          <t>Identité test adaptée au rôle « Produit &amp; paiements », données tests réinitialisées.</t>
        </is>
      </c>
      <c r="E71" s="28" t="inlineStr">
        <is>
          <t>1. Ouvrir RES-03. 2. Calculer cas simples, mixtes, réductions, articles sans prix et quantité max. 3. Contrôler persistance et état après actualisation. 4. Tester erreur/réseau si applicable.</t>
        </is>
      </c>
      <c r="F71" s="28" t="inlineStr">
        <is>
          <t>Total exact, non négatif; calcul serveur identique au récapitulatif.</t>
        </is>
      </c>
      <c r="G71" s="28" t="inlineStr">
        <is>
          <t>P0</t>
        </is>
      </c>
      <c r="H71" s="30" t="inlineStr">
        <is>
          <t>À définir</t>
        </is>
      </c>
      <c r="I71" s="25" t="inlineStr">
        <is>
          <t>Non exécuté</t>
        </is>
      </c>
      <c r="J71" s="30" t="inlineStr"/>
      <c r="K71" s="30" t="inlineStr"/>
      <c r="L71" s="30" t="inlineStr"/>
      <c r="M71" s="30" t="inlineStr"/>
      <c r="N71" s="30" t="inlineStr"/>
    </row>
    <row r="72" ht="75" customHeight="1">
      <c r="A72" s="22" t="inlineStr">
        <is>
          <t>QA-RES-04-01</t>
        </is>
      </c>
      <c r="B72" s="23" t="inlineStr">
        <is>
          <t>RES-04</t>
        </is>
      </c>
      <c r="C72" s="23" t="inlineStr">
        <is>
          <t>UX / accessibilité</t>
        </is>
      </c>
      <c r="D72" s="23" t="inlineStr">
        <is>
          <t>Vue RES-04 ouverte sur navigateur desktop et mobile; données de démonstration isolées.</t>
        </is>
      </c>
      <c r="E72" s="23" t="inlineStr">
        <is>
          <t>1. Ouvrir RES-04. 2. Inspecter présentation, contraste, libellés, focus et responsive à 375px/1440px. 3. Tester clavier/zoom 200%. 4. Comparer composants : Panier, ventilation, frais, taxes, modifier/supprimer.</t>
        </is>
      </c>
      <c r="F72" s="23" t="inlineStr">
        <is>
          <t>Présentation conforme à la charte ; aucune action inaccessible au clavier ; pas de débordement ou occultation. Contrôler aussi : Ventiler prestations et frais; supprimer chaque ligne; protéger sortie HTML.</t>
        </is>
      </c>
      <c r="G72" s="23" t="inlineStr">
        <is>
          <t>P0</t>
        </is>
      </c>
      <c r="H72" s="26" t="inlineStr">
        <is>
          <t>À définir</t>
        </is>
      </c>
      <c r="I72" s="25" t="inlineStr">
        <is>
          <t>Non exécuté</t>
        </is>
      </c>
      <c r="J72" s="26" t="inlineStr"/>
      <c r="K72" s="26" t="inlineStr"/>
      <c r="L72" s="26" t="inlineStr"/>
      <c r="M72" s="26" t="inlineStr"/>
      <c r="N72" s="26" t="inlineStr"/>
    </row>
    <row r="73" ht="75" customHeight="1">
      <c r="A73" s="27" t="inlineStr">
        <is>
          <t>QA-RES-04-02</t>
        </is>
      </c>
      <c r="B73" s="28" t="inlineStr">
        <is>
          <t>RES-04</t>
        </is>
      </c>
      <c r="C73" s="28" t="inlineStr">
        <is>
          <t>Fonctionnel / métier</t>
        </is>
      </c>
      <c r="D73" s="28" t="inlineStr">
        <is>
          <t>Identité test adaptée au rôle « Produit &amp; paiements », données tests réinitialisées.</t>
        </is>
      </c>
      <c r="E73" s="28" t="inlineStr">
        <is>
          <t>1. Ouvrir RES-04. 2. Ajouter trois offres, supprimer une, changer date puis actualiser. 3. Contrôler persistance et état après actualisation. 4. Tester erreur/réseau si applicable.</t>
        </is>
      </c>
      <c r="F73" s="28" t="inlineStr">
        <is>
          <t>Récapitulatif recalculé sans écart, données persistantes jusqu’à validation.</t>
        </is>
      </c>
      <c r="G73" s="28" t="inlineStr">
        <is>
          <t>P0</t>
        </is>
      </c>
      <c r="H73" s="30" t="inlineStr">
        <is>
          <t>À définir</t>
        </is>
      </c>
      <c r="I73" s="25" t="inlineStr">
        <is>
          <t>Non exécuté</t>
        </is>
      </c>
      <c r="J73" s="30" t="inlineStr"/>
      <c r="K73" s="30" t="inlineStr"/>
      <c r="L73" s="30" t="inlineStr"/>
      <c r="M73" s="30" t="inlineStr"/>
      <c r="N73" s="30" t="inlineStr"/>
    </row>
    <row r="74" ht="75" customHeight="1">
      <c r="A74" s="22" t="inlineStr">
        <is>
          <t>QA-RES-05-01</t>
        </is>
      </c>
      <c r="B74" s="23" t="inlineStr">
        <is>
          <t>RES-05</t>
        </is>
      </c>
      <c r="C74" s="23" t="inlineStr">
        <is>
          <t>UX / accessibilité</t>
        </is>
      </c>
      <c r="D74" s="23" t="inlineStr">
        <is>
          <t>Vue RES-05 ouverte sur navigateur desktop et mobile; données de démonstration isolées.</t>
        </is>
      </c>
      <c r="E74" s="23" t="inlineStr">
        <is>
          <t>1. Ouvrir RES-05. 2. Inspecter présentation, contraste, libellés, focus et responsive à 375px/1440px. 3. Tester clavier/zoom 200%. 4. Comparer composants : Nom, téléphone, organisation, consentement.</t>
        </is>
      </c>
      <c r="F74" s="23" t="inlineStr">
        <is>
          <t>Présentation conforme à la charte ; aucune action inaccessible au clavier ; pas de débordement ou occultation. Contrôler aussi : Rendre téléphone visiteur requis et validé sur tous les canaux; limiter collecte.</t>
        </is>
      </c>
      <c r="G74" s="23" t="inlineStr">
        <is>
          <t>P0</t>
        </is>
      </c>
      <c r="H74" s="26" t="inlineStr">
        <is>
          <t>À définir</t>
        </is>
      </c>
      <c r="I74" s="25" t="inlineStr">
        <is>
          <t>Non exécuté</t>
        </is>
      </c>
      <c r="J74" s="26" t="inlineStr"/>
      <c r="K74" s="26" t="inlineStr"/>
      <c r="L74" s="26" t="inlineStr"/>
      <c r="M74" s="26" t="inlineStr"/>
      <c r="N74" s="26" t="inlineStr"/>
    </row>
    <row r="75" ht="75" customHeight="1">
      <c r="A75" s="27" t="inlineStr">
        <is>
          <t>QA-RES-05-02</t>
        </is>
      </c>
      <c r="B75" s="28" t="inlineStr">
        <is>
          <t>RES-05</t>
        </is>
      </c>
      <c r="C75" s="28" t="inlineStr">
        <is>
          <t>Fonctionnel / métier</t>
        </is>
      </c>
      <c r="D75" s="28" t="inlineStr">
        <is>
          <t>Identité test adaptée au rôle « Produit &amp; paiements », données tests réinitialisées.</t>
        </is>
      </c>
      <c r="E75" s="28" t="inlineStr">
        <is>
          <t>1. Ouvrir RES-05. 2. Soumettre sans téléphone, numéro mal formé et numéro réel de test. 3. Contrôler persistance et état après actualisation. 4. Tester erreur/réseau si applicable.</t>
        </is>
      </c>
      <c r="F75" s="28" t="inlineStr">
        <is>
          <t>Aucun dossier réel sans contact exploitable; erreurs indiquées au bon champ.</t>
        </is>
      </c>
      <c r="G75" s="28" t="inlineStr">
        <is>
          <t>P0</t>
        </is>
      </c>
      <c r="H75" s="30" t="inlineStr">
        <is>
          <t>À définir</t>
        </is>
      </c>
      <c r="I75" s="25" t="inlineStr">
        <is>
          <t>Non exécuté</t>
        </is>
      </c>
      <c r="J75" s="30" t="inlineStr"/>
      <c r="K75" s="30" t="inlineStr"/>
      <c r="L75" s="30" t="inlineStr"/>
      <c r="M75" s="30" t="inlineStr"/>
      <c r="N75" s="30" t="inlineStr"/>
    </row>
    <row r="76" ht="75" customHeight="1">
      <c r="A76" s="22" t="inlineStr">
        <is>
          <t>QA-RES-06-01</t>
        </is>
      </c>
      <c r="B76" s="23" t="inlineStr">
        <is>
          <t>RES-06</t>
        </is>
      </c>
      <c r="C76" s="23" t="inlineStr">
        <is>
          <t>UX / accessibilité</t>
        </is>
      </c>
      <c r="D76" s="23" t="inlineStr">
        <is>
          <t>Vue RES-06 ouverte sur navigateur desktop et mobile; données de démonstration isolées.</t>
        </is>
      </c>
      <c r="E76" s="23" t="inlineStr">
        <is>
          <t>1. Ouvrir RES-06. 2. Inspecter présentation, contraste, libellés, focus et responsive à 375px/1440px. 3. Tester clavier/zoom 200%. 4. Comparer composants : Formulaire devis groupe, options, contact, estimation.</t>
        </is>
      </c>
      <c r="F76" s="23" t="inlineStr">
        <is>
          <t>Présentation conforme à la charte ; aucune action inaccessible au clavier ; pas de débordement ou occultation. Contrôler aussi : Afficher « demande reçue » seulement après accusé serveur; empêcher doublons.</t>
        </is>
      </c>
      <c r="G76" s="23" t="inlineStr">
        <is>
          <t>P0</t>
        </is>
      </c>
      <c r="H76" s="26" t="inlineStr">
        <is>
          <t>À définir</t>
        </is>
      </c>
      <c r="I76" s="25" t="inlineStr">
        <is>
          <t>Non exécuté</t>
        </is>
      </c>
      <c r="J76" s="26" t="inlineStr"/>
      <c r="K76" s="26" t="inlineStr"/>
      <c r="L76" s="26" t="inlineStr"/>
      <c r="M76" s="26" t="inlineStr"/>
      <c r="N76" s="26" t="inlineStr"/>
    </row>
    <row r="77" ht="75" customHeight="1">
      <c r="A77" s="27" t="inlineStr">
        <is>
          <t>QA-RES-06-02</t>
        </is>
      </c>
      <c r="B77" s="28" t="inlineStr">
        <is>
          <t>RES-06</t>
        </is>
      </c>
      <c r="C77" s="28" t="inlineStr">
        <is>
          <t>Fonctionnel / métier</t>
        </is>
      </c>
      <c r="D77" s="28" t="inlineStr">
        <is>
          <t>Identité test adaptée au rôle « Produit &amp; paiements », données tests réinitialisées.</t>
        </is>
      </c>
      <c r="E77" s="28" t="inlineStr">
        <is>
          <t>1. Ouvrir RES-06. 2. Couper réseau entre soumission et réponse serveur; réessayer. 3. Contrôler persistance et état après actualisation. 4. Tester erreur/réseau si applicable.</t>
        </is>
      </c>
      <c r="F77" s="28" t="inlineStr">
        <is>
          <t>Aucun faux succès; une demande = une référence persistée, sans doublon.</t>
        </is>
      </c>
      <c r="G77" s="28" t="inlineStr">
        <is>
          <t>P0</t>
        </is>
      </c>
      <c r="H77" s="30" t="inlineStr">
        <is>
          <t>À définir</t>
        </is>
      </c>
      <c r="I77" s="25" t="inlineStr">
        <is>
          <t>Non exécuté</t>
        </is>
      </c>
      <c r="J77" s="30" t="inlineStr"/>
      <c r="K77" s="30" t="inlineStr"/>
      <c r="L77" s="30" t="inlineStr"/>
      <c r="M77" s="30" t="inlineStr"/>
      <c r="N77" s="30" t="inlineStr"/>
    </row>
    <row r="78" ht="75" customHeight="1">
      <c r="A78" s="22" t="inlineStr">
        <is>
          <t>QA-RES-07-01</t>
        </is>
      </c>
      <c r="B78" s="23" t="inlineStr">
        <is>
          <t>RES-07</t>
        </is>
      </c>
      <c r="C78" s="23" t="inlineStr">
        <is>
          <t>UX / accessibilité</t>
        </is>
      </c>
      <c r="D78" s="23" t="inlineStr">
        <is>
          <t>Vue RES-07 ouverte sur navigateur desktop et mobile; données de démonstration isolées.</t>
        </is>
      </c>
      <c r="E78" s="23" t="inlineStr">
        <is>
          <t>1. Ouvrir RES-07. 2. Inspecter présentation, contraste, libellés, focus et responsive à 375px/1440px. 3. Tester clavier/zoom 200%. 4. Comparer composants : Choix paiement, pré-réservation guichet, CGV.</t>
        </is>
      </c>
      <c r="F78" s="23" t="inlineStr">
        <is>
          <t>Présentation conforme à la charte ; aucune action inaccessible au clavier ; pas de débordement ou occultation. Contrôler aussi : Distinguer option, commande en attente et réservation confirmée.</t>
        </is>
      </c>
      <c r="G78" s="23" t="inlineStr">
        <is>
          <t>P0</t>
        </is>
      </c>
      <c r="H78" s="26" t="inlineStr">
        <is>
          <t>À définir</t>
        </is>
      </c>
      <c r="I78" s="25" t="inlineStr">
        <is>
          <t>Non exécuté</t>
        </is>
      </c>
      <c r="J78" s="26" t="inlineStr"/>
      <c r="K78" s="26" t="inlineStr"/>
      <c r="L78" s="26" t="inlineStr"/>
      <c r="M78" s="26" t="inlineStr"/>
      <c r="N78" s="26" t="inlineStr"/>
    </row>
    <row r="79" ht="75" customHeight="1">
      <c r="A79" s="27" t="inlineStr">
        <is>
          <t>QA-RES-07-02</t>
        </is>
      </c>
      <c r="B79" s="28" t="inlineStr">
        <is>
          <t>RES-07</t>
        </is>
      </c>
      <c r="C79" s="28" t="inlineStr">
        <is>
          <t>Fonctionnel / métier</t>
        </is>
      </c>
      <c r="D79" s="28" t="inlineStr">
        <is>
          <t>Identité test adaptée au rôle « Produit &amp; paiements », données tests réinitialisées.</t>
        </is>
      </c>
      <c r="E79" s="28" t="inlineStr">
        <is>
          <t>1. Ouvrir RES-07. 2. Alterner Mobile Money/guichet; expirer une option non payée. 3. Contrôler persistance et état après actualisation. 4. Tester erreur/réseau si applicable.</t>
        </is>
      </c>
      <c r="F79" s="28" t="inlineStr">
        <is>
          <t>État cohérent: en attente ≠ payé; place libérée après échéance.</t>
        </is>
      </c>
      <c r="G79" s="28" t="inlineStr">
        <is>
          <t>P0</t>
        </is>
      </c>
      <c r="H79" s="30" t="inlineStr">
        <is>
          <t>À définir</t>
        </is>
      </c>
      <c r="I79" s="25" t="inlineStr">
        <is>
          <t>Non exécuté</t>
        </is>
      </c>
      <c r="J79" s="30" t="inlineStr"/>
      <c r="K79" s="30" t="inlineStr"/>
      <c r="L79" s="30" t="inlineStr"/>
      <c r="M79" s="30" t="inlineStr"/>
      <c r="N79" s="30" t="inlineStr"/>
    </row>
    <row r="80" ht="75" customHeight="1">
      <c r="A80" s="22" t="inlineStr">
        <is>
          <t>QA-RES-08-01</t>
        </is>
      </c>
      <c r="B80" s="23" t="inlineStr">
        <is>
          <t>RES-08</t>
        </is>
      </c>
      <c r="C80" s="23" t="inlineStr">
        <is>
          <t>UX / accessibilité</t>
        </is>
      </c>
      <c r="D80" s="23" t="inlineStr">
        <is>
          <t>Vue RES-08 ouverte sur navigateur desktop et mobile; données de démonstration isolées.</t>
        </is>
      </c>
      <c r="E80" s="23" t="inlineStr">
        <is>
          <t>1. Ouvrir RES-08. 2. Inspecter présentation, contraste, libellés, focus et responsive à 375px/1440px. 3. Tester clavier/zoom 200%. 4. Comparer composants : Paiement Mobile Money (démo), état en cours/échec.</t>
        </is>
      </c>
      <c r="F80" s="23" t="inlineStr">
        <is>
          <t>Présentation conforme à la charte ; aucune action inaccessible au clavier ; pas de débordement ou occultation. Contrôler aussi : Implémenter passerelle réelle avec webhook vérifié; ne jamais demander PIN.</t>
        </is>
      </c>
      <c r="G80" s="23" t="inlineStr">
        <is>
          <t>P0</t>
        </is>
      </c>
      <c r="H80" s="26" t="inlineStr">
        <is>
          <t>À définir</t>
        </is>
      </c>
      <c r="I80" s="25" t="inlineStr">
        <is>
          <t>Non exécuté</t>
        </is>
      </c>
      <c r="J80" s="26" t="inlineStr"/>
      <c r="K80" s="26" t="inlineStr"/>
      <c r="L80" s="26" t="inlineStr"/>
      <c r="M80" s="26" t="inlineStr"/>
      <c r="N80" s="26" t="inlineStr"/>
    </row>
    <row r="81" ht="75" customHeight="1">
      <c r="A81" s="27" t="inlineStr">
        <is>
          <t>QA-RES-08-02</t>
        </is>
      </c>
      <c r="B81" s="28" t="inlineStr">
        <is>
          <t>RES-08</t>
        </is>
      </c>
      <c r="C81" s="28" t="inlineStr">
        <is>
          <t>Fonctionnel / métier</t>
        </is>
      </c>
      <c r="D81" s="28" t="inlineStr">
        <is>
          <t>Identité test adaptée au rôle « Produit &amp; paiements », données tests réinitialisées.</t>
        </is>
      </c>
      <c r="E81" s="28" t="inlineStr">
        <is>
          <t>1. Ouvrir RES-08. 2. Simuler succès, refus, timeout, notification tardive, paiement en double. 3. Contrôler persistance et état après actualisation. 4. Tester erreur/réseau si applicable.</t>
        </is>
      </c>
      <c r="F81" s="28" t="inlineStr">
        <is>
          <t>Aucun billet payé avant confirmation PSP authentifiée; transaction idempotente.</t>
        </is>
      </c>
      <c r="G81" s="28" t="inlineStr">
        <is>
          <t>P0</t>
        </is>
      </c>
      <c r="H81" s="30" t="inlineStr">
        <is>
          <t>À définir</t>
        </is>
      </c>
      <c r="I81" s="25" t="inlineStr">
        <is>
          <t>Non exécuté</t>
        </is>
      </c>
      <c r="J81" s="30" t="inlineStr"/>
      <c r="K81" s="30" t="inlineStr"/>
      <c r="L81" s="30" t="inlineStr"/>
      <c r="M81" s="30" t="inlineStr"/>
      <c r="N81" s="30" t="inlineStr"/>
    </row>
    <row r="82" ht="75" customHeight="1">
      <c r="A82" s="22" t="inlineStr">
        <is>
          <t>QA-RES-09-01</t>
        </is>
      </c>
      <c r="B82" s="23" t="inlineStr">
        <is>
          <t>RES-09</t>
        </is>
      </c>
      <c r="C82" s="23" t="inlineStr">
        <is>
          <t>UX / accessibilité</t>
        </is>
      </c>
      <c r="D82" s="23" t="inlineStr">
        <is>
          <t>Vue RES-09 ouverte sur navigateur desktop et mobile; données de démonstration isolées.</t>
        </is>
      </c>
      <c r="E82" s="23" t="inlineStr">
        <is>
          <t>1. Ouvrir RES-09. 2. Inspecter présentation, contraste, libellés, focus et responsive à 375px/1440px. 3. Tester clavier/zoom 200%. 4. Comparer composants : Confirmation, billet QR, date, identité, montant.</t>
        </is>
      </c>
      <c r="F82" s="23" t="inlineStr">
        <is>
          <t>Présentation conforme à la charte ; aucune action inaccessible au clavier ; pas de débordement ou occultation. Contrôler aussi : Signer jeton QR côté serveur, contrôler statut et émission après paiement.</t>
        </is>
      </c>
      <c r="G82" s="23" t="inlineStr">
        <is>
          <t>P0</t>
        </is>
      </c>
      <c r="H82" s="26" t="inlineStr">
        <is>
          <t>À définir</t>
        </is>
      </c>
      <c r="I82" s="25" t="inlineStr">
        <is>
          <t>Non exécuté</t>
        </is>
      </c>
      <c r="J82" s="26" t="inlineStr"/>
      <c r="K82" s="26" t="inlineStr"/>
      <c r="L82" s="26" t="inlineStr"/>
      <c r="M82" s="26" t="inlineStr"/>
      <c r="N82" s="26" t="inlineStr"/>
    </row>
    <row r="83" ht="75" customHeight="1">
      <c r="A83" s="27" t="inlineStr">
        <is>
          <t>QA-RES-09-02</t>
        </is>
      </c>
      <c r="B83" s="28" t="inlineStr">
        <is>
          <t>RES-09</t>
        </is>
      </c>
      <c r="C83" s="28" t="inlineStr">
        <is>
          <t>Fonctionnel / métier</t>
        </is>
      </c>
      <c r="D83" s="28" t="inlineStr">
        <is>
          <t>Identité test adaptée au rôle « Produit &amp; paiements », données tests réinitialisées.</t>
        </is>
      </c>
      <c r="E83" s="28" t="inlineStr">
        <is>
          <t>1. Ouvrir RES-09. 2. Tenter double création, QR altéré, billet annulé, cas paiement confirmé. 3. Contrôler persistance et état après actualisation. 4. Tester erreur/réseau si applicable.</t>
        </is>
      </c>
      <c r="F83" s="28" t="inlineStr">
        <is>
          <t>Chaque billet unique et vérifiable; seuls dossiers validés émettent un QR actif.</t>
        </is>
      </c>
      <c r="G83" s="28" t="inlineStr">
        <is>
          <t>P0</t>
        </is>
      </c>
      <c r="H83" s="30" t="inlineStr">
        <is>
          <t>À définir</t>
        </is>
      </c>
      <c r="I83" s="25" t="inlineStr">
        <is>
          <t>Non exécuté</t>
        </is>
      </c>
      <c r="J83" s="30" t="inlineStr"/>
      <c r="K83" s="30" t="inlineStr"/>
      <c r="L83" s="30" t="inlineStr"/>
      <c r="M83" s="30" t="inlineStr"/>
      <c r="N83" s="30" t="inlineStr"/>
    </row>
    <row r="84" ht="75" customHeight="1">
      <c r="A84" s="22" t="inlineStr">
        <is>
          <t>QA-RES-10-01</t>
        </is>
      </c>
      <c r="B84" s="23" t="inlineStr">
        <is>
          <t>RES-10</t>
        </is>
      </c>
      <c r="C84" s="23" t="inlineStr">
        <is>
          <t>UX / accessibilité</t>
        </is>
      </c>
      <c r="D84" s="23" t="inlineStr">
        <is>
          <t>Vue RES-10 ouverte sur navigateur desktop et mobile; données de démonstration isolées.</t>
        </is>
      </c>
      <c r="E84" s="23" t="inlineStr">
        <is>
          <t>1. Ouvrir RES-10. 2. Inspecter présentation, contraste, libellés, focus et responsive à 375px/1440px. 3. Tester clavier/zoom 200%. 4. Comparer composants : Accusé devis, référence, état et contact.</t>
        </is>
      </c>
      <c r="F84" s="23" t="inlineStr">
        <is>
          <t>Présentation conforme à la charte ; aucune action inaccessible au clavier ; pas de débordement ou occultation. Contrôler aussi : Remplacer par identifiant unique garanti côté serveur; expliquer délai et suivi.</t>
        </is>
      </c>
      <c r="G84" s="23" t="inlineStr">
        <is>
          <t>P0</t>
        </is>
      </c>
      <c r="H84" s="26" t="inlineStr">
        <is>
          <t>À définir</t>
        </is>
      </c>
      <c r="I84" s="25" t="inlineStr">
        <is>
          <t>Non exécuté</t>
        </is>
      </c>
      <c r="J84" s="26" t="inlineStr"/>
      <c r="K84" s="26" t="inlineStr"/>
      <c r="L84" s="26" t="inlineStr"/>
      <c r="M84" s="26" t="inlineStr"/>
      <c r="N84" s="26" t="inlineStr"/>
    </row>
    <row r="85" ht="75" customHeight="1">
      <c r="A85" s="27" t="inlineStr">
        <is>
          <t>QA-RES-10-02</t>
        </is>
      </c>
      <c r="B85" s="28" t="inlineStr">
        <is>
          <t>RES-10</t>
        </is>
      </c>
      <c r="C85" s="28" t="inlineStr">
        <is>
          <t>Fonctionnel / métier</t>
        </is>
      </c>
      <c r="D85" s="28" t="inlineStr">
        <is>
          <t>Identité test adaptée au rôle « Produit &amp; paiements », données tests réinitialisées.</t>
        </is>
      </c>
      <c r="E85" s="28" t="inlineStr">
        <is>
          <t>1. Ouvrir RES-10. 2. Envoyer deux demandes simultanées et contrôler unicité/récupération. 3. Contrôler persistance et état après actualisation. 4. Tester erreur/réseau si applicable.</t>
        </is>
      </c>
      <c r="F85" s="28" t="inlineStr">
        <is>
          <t>Deux dossiers distincts; référence confirmée; consultation possible.</t>
        </is>
      </c>
      <c r="G85" s="28" t="inlineStr">
        <is>
          <t>P0</t>
        </is>
      </c>
      <c r="H85" s="30" t="inlineStr">
        <is>
          <t>À définir</t>
        </is>
      </c>
      <c r="I85" s="25" t="inlineStr">
        <is>
          <t>Non exécuté</t>
        </is>
      </c>
      <c r="J85" s="30" t="inlineStr"/>
      <c r="K85" s="30" t="inlineStr"/>
      <c r="L85" s="30" t="inlineStr"/>
      <c r="M85" s="30" t="inlineStr"/>
      <c r="N85" s="30" t="inlineStr"/>
    </row>
    <row r="86" ht="75" customHeight="1">
      <c r="A86" s="22" t="inlineStr">
        <is>
          <t>QA-RES-11-01</t>
        </is>
      </c>
      <c r="B86" s="23" t="inlineStr">
        <is>
          <t>RES-11</t>
        </is>
      </c>
      <c r="C86" s="23" t="inlineStr">
        <is>
          <t>UX / accessibilité</t>
        </is>
      </c>
      <c r="D86" s="23" t="inlineStr">
        <is>
          <t>Vue RES-11 ouverte sur navigateur desktop et mobile; données de démonstration isolées.</t>
        </is>
      </c>
      <c r="E86" s="23" t="inlineStr">
        <is>
          <t>1. Ouvrir RES-11. 2. Inspecter présentation, contraste, libellés, focus et responsive à 375px/1440px. 3. Tester clavier/zoom 200%. 4. Comparer composants : Erreur, expiration, annulation, reprise paiement.</t>
        </is>
      </c>
      <c r="F86" s="23" t="inlineStr">
        <is>
          <t>Présentation conforme à la charte ; aucune action inaccessible au clavier ; pas de débordement ou occultation. Contrôler aussi : Conserver panier, afficher état fiable et éviter re-facturation.</t>
        </is>
      </c>
      <c r="G86" s="23" t="inlineStr">
        <is>
          <t>P0</t>
        </is>
      </c>
      <c r="H86" s="26" t="inlineStr">
        <is>
          <t>À définir</t>
        </is>
      </c>
      <c r="I86" s="25" t="inlineStr">
        <is>
          <t>Non exécuté</t>
        </is>
      </c>
      <c r="J86" s="26" t="inlineStr"/>
      <c r="K86" s="26" t="inlineStr"/>
      <c r="L86" s="26" t="inlineStr"/>
      <c r="M86" s="26" t="inlineStr"/>
      <c r="N86" s="26" t="inlineStr"/>
    </row>
    <row r="87" ht="75" customHeight="1">
      <c r="A87" s="27" t="inlineStr">
        <is>
          <t>QA-RES-11-02</t>
        </is>
      </c>
      <c r="B87" s="28" t="inlineStr">
        <is>
          <t>RES-11</t>
        </is>
      </c>
      <c r="C87" s="28" t="inlineStr">
        <is>
          <t>Fonctionnel / métier</t>
        </is>
      </c>
      <c r="D87" s="28" t="inlineStr">
        <is>
          <t>Identité test adaptée au rôle « Produit &amp; paiements », données tests réinitialisées.</t>
        </is>
      </c>
      <c r="E87" s="28" t="inlineStr">
        <is>
          <t>1. Ouvrir RES-11. 2. Couper connexion pendant redirection puis recevoir notification de succès tardive. 3. Contrôler persistance et état après actualisation. 4. Tester erreur/réseau si applicable.</t>
        </is>
      </c>
      <c r="F87" s="28" t="inlineStr">
        <is>
          <t>Reprise sans double paiement ni double émission; message fiable.</t>
        </is>
      </c>
      <c r="G87" s="28" t="inlineStr">
        <is>
          <t>P0</t>
        </is>
      </c>
      <c r="H87" s="30" t="inlineStr">
        <is>
          <t>À définir</t>
        </is>
      </c>
      <c r="I87" s="25" t="inlineStr">
        <is>
          <t>Non exécuté</t>
        </is>
      </c>
      <c r="J87" s="30" t="inlineStr"/>
      <c r="K87" s="30" t="inlineStr"/>
      <c r="L87" s="30" t="inlineStr"/>
      <c r="M87" s="30" t="inlineStr"/>
      <c r="N87" s="30" t="inlineStr"/>
    </row>
    <row r="88" ht="75" customHeight="1">
      <c r="A88" s="22" t="inlineStr">
        <is>
          <t>QA-RES-12-01</t>
        </is>
      </c>
      <c r="B88" s="23" t="inlineStr">
        <is>
          <t>RES-12</t>
        </is>
      </c>
      <c r="C88" s="23" t="inlineStr">
        <is>
          <t>UX / accessibilité</t>
        </is>
      </c>
      <c r="D88" s="23" t="inlineStr">
        <is>
          <t>Vue RES-12 ouverte sur navigateur desktop et mobile; données de démonstration isolées.</t>
        </is>
      </c>
      <c r="E88" s="23" t="inlineStr">
        <is>
          <t>1. Ouvrir RES-12. 2. Inspecter présentation, contraste, libellés, focus et responsive à 375px/1440px. 3. Tester clavier/zoom 200%. 4. Comparer composants : Recherche référence, numéro, résultat et états.</t>
        </is>
      </c>
      <c r="F88" s="23" t="inlineStr">
        <is>
          <t>Présentation conforme à la charte ; aucune action inaccessible au clavier ; pas de débordement ou occultation. Contrôler aussi : Limiter données affichées; authentifier avant détail personnel; contrôler essais.</t>
        </is>
      </c>
      <c r="G88" s="23" t="inlineStr">
        <is>
          <t>P0</t>
        </is>
      </c>
      <c r="H88" s="26" t="inlineStr">
        <is>
          <t>À définir</t>
        </is>
      </c>
      <c r="I88" s="25" t="inlineStr">
        <is>
          <t>Non exécuté</t>
        </is>
      </c>
      <c r="J88" s="26" t="inlineStr"/>
      <c r="K88" s="26" t="inlineStr"/>
      <c r="L88" s="26" t="inlineStr"/>
      <c r="M88" s="26" t="inlineStr"/>
      <c r="N88" s="26" t="inlineStr"/>
    </row>
    <row r="89" ht="75" customHeight="1">
      <c r="A89" s="27" t="inlineStr">
        <is>
          <t>QA-RES-12-02</t>
        </is>
      </c>
      <c r="B89" s="28" t="inlineStr">
        <is>
          <t>RES-12</t>
        </is>
      </c>
      <c r="C89" s="28" t="inlineStr">
        <is>
          <t>Fonctionnel / métier</t>
        </is>
      </c>
      <c r="D89" s="28" t="inlineStr">
        <is>
          <t>Identité test adaptée au rôle « Produit &amp; paiements », données tests réinitialisées.</t>
        </is>
      </c>
      <c r="E89" s="28" t="inlineStr">
        <is>
          <t>1. Ouvrir RES-12. 2. Chercher référence d’un autre client, référence inexistante, numéro incorrect. 3. Contrôler persistance et état après actualisation. 4. Tester erreur/réseau si applicable.</t>
        </is>
      </c>
      <c r="F89" s="28" t="inlineStr">
        <is>
          <t>Aucun accès aux données d’un tiers; résultat vide non divulgateur.</t>
        </is>
      </c>
      <c r="G89" s="28" t="inlineStr">
        <is>
          <t>P0</t>
        </is>
      </c>
      <c r="H89" s="30" t="inlineStr">
        <is>
          <t>À définir</t>
        </is>
      </c>
      <c r="I89" s="25" t="inlineStr">
        <is>
          <t>Non exécuté</t>
        </is>
      </c>
      <c r="J89" s="30" t="inlineStr"/>
      <c r="K89" s="30" t="inlineStr"/>
      <c r="L89" s="30" t="inlineStr"/>
      <c r="M89" s="30" t="inlineStr"/>
      <c r="N89" s="30" t="inlineStr"/>
    </row>
    <row r="90" ht="75" customHeight="1">
      <c r="A90" s="22" t="inlineStr">
        <is>
          <t>QA-ACC-01-01</t>
        </is>
      </c>
      <c r="B90" s="23" t="inlineStr">
        <is>
          <t>ACC-01</t>
        </is>
      </c>
      <c r="C90" s="23" t="inlineStr">
        <is>
          <t>UX / accessibilité</t>
        </is>
      </c>
      <c r="D90" s="23" t="inlineStr">
        <is>
          <t>Vue ACC-01 ouverte sur navigateur desktop et mobile; données de démonstration isolées.</t>
        </is>
      </c>
      <c r="E90" s="23" t="inlineStr">
        <is>
          <t>1. Ouvrir ACC-01. 2. Inspecter présentation, contraste, libellés, focus et responsive à 375px/1440px. 3. Tester clavier/zoom 200%. 4. Comparer composants : Connexion +237, vérification code, expiration.</t>
        </is>
      </c>
      <c r="F90" s="23" t="inlineStr">
        <is>
          <t>Présentation conforme à la charte ; aucune action inaccessible au clavier ; pas de débordement ou occultation. Contrôler aussi : Assurer authentification serveur, OTP expirant, quotas et session protégée.</t>
        </is>
      </c>
      <c r="G90" s="23" t="inlineStr">
        <is>
          <t>P0</t>
        </is>
      </c>
      <c r="H90" s="26" t="inlineStr">
        <is>
          <t>À définir</t>
        </is>
      </c>
      <c r="I90" s="25" t="inlineStr">
        <is>
          <t>Non exécuté</t>
        </is>
      </c>
      <c r="J90" s="26" t="inlineStr"/>
      <c r="K90" s="26" t="inlineStr"/>
      <c r="L90" s="26" t="inlineStr"/>
      <c r="M90" s="26" t="inlineStr"/>
      <c r="N90" s="26" t="inlineStr"/>
    </row>
    <row r="91" ht="75" customHeight="1">
      <c r="A91" s="27" t="inlineStr">
        <is>
          <t>QA-ACC-01-02</t>
        </is>
      </c>
      <c r="B91" s="28" t="inlineStr">
        <is>
          <t>ACC-01</t>
        </is>
      </c>
      <c r="C91" s="28" t="inlineStr">
        <is>
          <t>Fonctionnel / métier</t>
        </is>
      </c>
      <c r="D91" s="28" t="inlineStr">
        <is>
          <t>Identité test adaptée au rôle « Produit &amp; sécurité », données tests réinitialisées.</t>
        </is>
      </c>
      <c r="E91" s="28" t="inlineStr">
        <is>
          <t>1. Ouvrir ACC-01. 2. Tester code expiré, 5 échecs, session expirée et tentative non autorisée. 3. Contrôler persistance et état après actualisation. 4. Tester erreur/réseau si applicable.</t>
        </is>
      </c>
      <c r="F91" s="28" t="inlineStr">
        <is>
          <t>Seul code valide ouvre le compte; blocage/rate limit appliqués.</t>
        </is>
      </c>
      <c r="G91" s="28" t="inlineStr">
        <is>
          <t>P0</t>
        </is>
      </c>
      <c r="H91" s="30" t="inlineStr">
        <is>
          <t>À définir</t>
        </is>
      </c>
      <c r="I91" s="25" t="inlineStr">
        <is>
          <t>Non exécuté</t>
        </is>
      </c>
      <c r="J91" s="30" t="inlineStr"/>
      <c r="K91" s="30" t="inlineStr"/>
      <c r="L91" s="30" t="inlineStr"/>
      <c r="M91" s="30" t="inlineStr"/>
      <c r="N91" s="30" t="inlineStr"/>
    </row>
    <row r="92" ht="75" customHeight="1">
      <c r="A92" s="22" t="inlineStr">
        <is>
          <t>QA-ACC-02-01</t>
        </is>
      </c>
      <c r="B92" s="23" t="inlineStr">
        <is>
          <t>ACC-02</t>
        </is>
      </c>
      <c r="C92" s="23" t="inlineStr">
        <is>
          <t>UX / accessibilité</t>
        </is>
      </c>
      <c r="D92" s="23" t="inlineStr">
        <is>
          <t>Vue ACC-02 ouverte sur navigateur desktop et mobile; données de démonstration isolées.</t>
        </is>
      </c>
      <c r="E92" s="23" t="inlineStr">
        <is>
          <t>1. Ouvrir ACC-02. 2. Inspecter présentation, contraste, libellés, focus et responsive à 375px/1440px. 3. Tester clavier/zoom 200%. 4. Comparer composants : Tableau de bord, activité, réservations, liens rapides.</t>
        </is>
      </c>
      <c r="F92" s="23" t="inlineStr">
        <is>
          <t>Présentation conforme à la charte ; aucune action inaccessible au clavier ; pas de débordement ou occultation. Contrôler aussi : Afficher état vide, actions contextuelles et prochaine visite en premier.</t>
        </is>
      </c>
      <c r="G92" s="23" t="inlineStr">
        <is>
          <t>P0</t>
        </is>
      </c>
      <c r="H92" s="26" t="inlineStr">
        <is>
          <t>À définir</t>
        </is>
      </c>
      <c r="I92" s="25" t="inlineStr">
        <is>
          <t>Non exécuté</t>
        </is>
      </c>
      <c r="J92" s="26" t="inlineStr"/>
      <c r="K92" s="26" t="inlineStr"/>
      <c r="L92" s="26" t="inlineStr"/>
      <c r="M92" s="26" t="inlineStr"/>
      <c r="N92" s="26" t="inlineStr"/>
    </row>
    <row r="93" ht="75" customHeight="1">
      <c r="A93" s="27" t="inlineStr">
        <is>
          <t>QA-ACC-02-02</t>
        </is>
      </c>
      <c r="B93" s="28" t="inlineStr">
        <is>
          <t>ACC-02</t>
        </is>
      </c>
      <c r="C93" s="28" t="inlineStr">
        <is>
          <t>Fonctionnel / métier</t>
        </is>
      </c>
      <c r="D93" s="28" t="inlineStr">
        <is>
          <t>Identité test adaptée au rôle « Produit &amp; sécurité », données tests réinitialisées.</t>
        </is>
      </c>
      <c r="E93" s="28" t="inlineStr">
        <is>
          <t>1. Ouvrir ACC-02. 2. Se connecter avec 0, 1 et 20 réservations; comparer à la base. 3. Contrôler persistance et état après actualisation. 4. Tester erreur/réseau si applicable.</t>
        </is>
      </c>
      <c r="F93" s="28" t="inlineStr">
        <is>
          <t>Contenu propre au bon compte, lisible sur mobile et chiffres cohérents.</t>
        </is>
      </c>
      <c r="G93" s="28" t="inlineStr">
        <is>
          <t>P0</t>
        </is>
      </c>
      <c r="H93" s="30" t="inlineStr">
        <is>
          <t>À définir</t>
        </is>
      </c>
      <c r="I93" s="25" t="inlineStr">
        <is>
          <t>Non exécuté</t>
        </is>
      </c>
      <c r="J93" s="30" t="inlineStr"/>
      <c r="K93" s="30" t="inlineStr"/>
      <c r="L93" s="30" t="inlineStr"/>
      <c r="M93" s="30" t="inlineStr"/>
      <c r="N93" s="30" t="inlineStr"/>
    </row>
    <row r="94" ht="75" customHeight="1">
      <c r="A94" s="22" t="inlineStr">
        <is>
          <t>QA-ACC-03-01</t>
        </is>
      </c>
      <c r="B94" s="23" t="inlineStr">
        <is>
          <t>ACC-03</t>
        </is>
      </c>
      <c r="C94" s="23" t="inlineStr">
        <is>
          <t>UX / accessibilité</t>
        </is>
      </c>
      <c r="D94" s="23" t="inlineStr">
        <is>
          <t>Vue ACC-03 ouverte sur navigateur desktop et mobile; données de démonstration isolées.</t>
        </is>
      </c>
      <c r="E94" s="23" t="inlineStr">
        <is>
          <t>1. Ouvrir ACC-03. 2. Inspecter présentation, contraste, libellés, focus et responsive à 375px/1440px. 3. Tester clavier/zoom 200%. 4. Comparer composants : Liste billets QR, détail, téléchargement.</t>
        </is>
      </c>
      <c r="F94" s="23" t="inlineStr">
        <is>
          <t>Présentation conforme à la charte ; aucune action inaccessible au clavier ; pas de débordement ou occultation. Contrôler aussi : Préciser statut utilisable et date; protéger téléchargement des tiers.</t>
        </is>
      </c>
      <c r="G94" s="23" t="inlineStr">
        <is>
          <t>P0</t>
        </is>
      </c>
      <c r="H94" s="26" t="inlineStr">
        <is>
          <t>À définir</t>
        </is>
      </c>
      <c r="I94" s="25" t="inlineStr">
        <is>
          <t>Non exécuté</t>
        </is>
      </c>
      <c r="J94" s="26" t="inlineStr"/>
      <c r="K94" s="26" t="inlineStr"/>
      <c r="L94" s="26" t="inlineStr"/>
      <c r="M94" s="26" t="inlineStr"/>
      <c r="N94" s="26" t="inlineStr"/>
    </row>
    <row r="95" ht="75" customHeight="1">
      <c r="A95" s="27" t="inlineStr">
        <is>
          <t>QA-ACC-03-02</t>
        </is>
      </c>
      <c r="B95" s="28" t="inlineStr">
        <is>
          <t>ACC-03</t>
        </is>
      </c>
      <c r="C95" s="28" t="inlineStr">
        <is>
          <t>Fonctionnel / métier</t>
        </is>
      </c>
      <c r="D95" s="28" t="inlineStr">
        <is>
          <t>Identité test adaptée au rôle « Produit &amp; sécurité », données tests réinitialisées.</t>
        </is>
      </c>
      <c r="E95" s="28" t="inlineStr">
        <is>
          <t>1. Ouvrir ACC-03. 2. Télécharger billet actif puis annulé; lire QR hors connexion. 3. Contrôler persistance et état après actualisation. 4. Tester erreur/réseau si applicable.</t>
        </is>
      </c>
      <c r="F95" s="28" t="inlineStr">
        <is>
          <t>Billet actif validable, billet annulé refusé; export conserve référence.</t>
        </is>
      </c>
      <c r="G95" s="28" t="inlineStr">
        <is>
          <t>P0</t>
        </is>
      </c>
      <c r="H95" s="30" t="inlineStr">
        <is>
          <t>À définir</t>
        </is>
      </c>
      <c r="I95" s="25" t="inlineStr">
        <is>
          <t>Non exécuté</t>
        </is>
      </c>
      <c r="J95" s="30" t="inlineStr"/>
      <c r="K95" s="30" t="inlineStr"/>
      <c r="L95" s="30" t="inlineStr"/>
      <c r="M95" s="30" t="inlineStr"/>
      <c r="N95" s="30" t="inlineStr"/>
    </row>
    <row r="96" ht="75" customHeight="1">
      <c r="A96" s="22" t="inlineStr">
        <is>
          <t>QA-ACC-04-01</t>
        </is>
      </c>
      <c r="B96" s="23" t="inlineStr">
        <is>
          <t>ACC-04</t>
        </is>
      </c>
      <c r="C96" s="23" t="inlineStr">
        <is>
          <t>UX / accessibilité</t>
        </is>
      </c>
      <c r="D96" s="23" t="inlineStr">
        <is>
          <t>Vue ACC-04 ouverte sur navigateur desktop et mobile; données de démonstration isolées.</t>
        </is>
      </c>
      <c r="E96" s="23" t="inlineStr">
        <is>
          <t>1. Ouvrir ACC-04. 2. Inspecter présentation, contraste, libellés, focus et responsive à 375px/1440px. 3. Tester clavier/zoom 200%. 4. Comparer composants : Mes devis et échanges, statut, historique.</t>
        </is>
      </c>
      <c r="F96" s="23" t="inlineStr">
        <is>
          <t>Présentation conforme à la charte ; aucune action inaccessible au clavier ; pas de débordement ou occultation. Contrôler aussi : Uniformiser statuts, horodatage et pièces jointes sécurisées.</t>
        </is>
      </c>
      <c r="G96" s="23" t="inlineStr">
        <is>
          <t>P0</t>
        </is>
      </c>
      <c r="H96" s="26" t="inlineStr">
        <is>
          <t>À définir</t>
        </is>
      </c>
      <c r="I96" s="25" t="inlineStr">
        <is>
          <t>Non exécuté</t>
        </is>
      </c>
      <c r="J96" s="26" t="inlineStr"/>
      <c r="K96" s="26" t="inlineStr"/>
      <c r="L96" s="26" t="inlineStr"/>
      <c r="M96" s="26" t="inlineStr"/>
      <c r="N96" s="26" t="inlineStr"/>
    </row>
    <row r="97" ht="75" customHeight="1">
      <c r="A97" s="27" t="inlineStr">
        <is>
          <t>QA-ACC-04-02</t>
        </is>
      </c>
      <c r="B97" s="28" t="inlineStr">
        <is>
          <t>ACC-04</t>
        </is>
      </c>
      <c r="C97" s="28" t="inlineStr">
        <is>
          <t>Fonctionnel / métier</t>
        </is>
      </c>
      <c r="D97" s="28" t="inlineStr">
        <is>
          <t>Identité test adaptée au rôle « Produit &amp; sécurité », données tests réinitialisées.</t>
        </is>
      </c>
      <c r="E97" s="28" t="inlineStr">
        <is>
          <t>1. Ouvrir ACC-04. 2. Ouvrir devis de son compte et tenter accès à une référence tierce. 3. Contrôler persistance et état après actualisation. 4. Tester erreur/réseau si applicable.</t>
        </is>
      </c>
      <c r="F97" s="28" t="inlineStr">
        <is>
          <t>Seul titulaire autorisé voit les échanges; statut synchronisé avec EXP.</t>
        </is>
      </c>
      <c r="G97" s="28" t="inlineStr">
        <is>
          <t>P0</t>
        </is>
      </c>
      <c r="H97" s="30" t="inlineStr">
        <is>
          <t>À définir</t>
        </is>
      </c>
      <c r="I97" s="25" t="inlineStr">
        <is>
          <t>Non exécuté</t>
        </is>
      </c>
      <c r="J97" s="30" t="inlineStr"/>
      <c r="K97" s="30" t="inlineStr"/>
      <c r="L97" s="30" t="inlineStr"/>
      <c r="M97" s="30" t="inlineStr"/>
      <c r="N97" s="30" t="inlineStr"/>
    </row>
    <row r="98" ht="75" customHeight="1">
      <c r="A98" s="22" t="inlineStr">
        <is>
          <t>QA-ACC-05-01</t>
        </is>
      </c>
      <c r="B98" s="23" t="inlineStr">
        <is>
          <t>ACC-05</t>
        </is>
      </c>
      <c r="C98" s="23" t="inlineStr">
        <is>
          <t>UX / accessibilité</t>
        </is>
      </c>
      <c r="D98" s="23" t="inlineStr">
        <is>
          <t>Vue ACC-05 ouverte sur navigateur desktop et mobile; données de démonstration isolées.</t>
        </is>
      </c>
      <c r="E98" s="23" t="inlineStr">
        <is>
          <t>1. Ouvrir ACC-05. 2. Inspecter présentation, contraste, libellés, focus et responsive à 375px/1440px. 3. Tester clavier/zoom 200%. 4. Comparer composants : Report, annulation, politique, remboursement.</t>
        </is>
      </c>
      <c r="F98" s="23" t="inlineStr">
        <is>
          <t>Présentation conforme à la charte ; aucune action inaccessible au clavier ; pas de débordement ou occultation. Contrôler aussi : Brancher API remboursement réelle avec preuve de règlement; valider règles et stock.</t>
        </is>
      </c>
      <c r="G98" s="23" t="inlineStr">
        <is>
          <t>P0</t>
        </is>
      </c>
      <c r="H98" s="26" t="inlineStr">
        <is>
          <t>À définir</t>
        </is>
      </c>
      <c r="I98" s="25" t="inlineStr">
        <is>
          <t>Non exécuté</t>
        </is>
      </c>
      <c r="J98" s="26" t="inlineStr"/>
      <c r="K98" s="26" t="inlineStr"/>
      <c r="L98" s="26" t="inlineStr"/>
      <c r="M98" s="26" t="inlineStr"/>
      <c r="N98" s="26" t="inlineStr"/>
    </row>
    <row r="99" ht="75" customHeight="1">
      <c r="A99" s="27" t="inlineStr">
        <is>
          <t>QA-ACC-05-02</t>
        </is>
      </c>
      <c r="B99" s="28" t="inlineStr">
        <is>
          <t>ACC-05</t>
        </is>
      </c>
      <c r="C99" s="28" t="inlineStr">
        <is>
          <t>Fonctionnel / métier</t>
        </is>
      </c>
      <c r="D99" s="28" t="inlineStr">
        <is>
          <t>Identité test adaptée au rôle « Produit &amp; sécurité », données tests réinitialisées.</t>
        </is>
      </c>
      <c r="E99" s="28" t="inlineStr">
        <is>
          <t>1. Ouvrir ACC-05. 2. Annuler un billet payé, consommé, hors délai et avec remboursement refusé. 3. Contrôler persistance et état après actualisation. 4. Tester erreur/réseau si applicable.</t>
        </is>
      </c>
      <c r="F99" s="28" t="inlineStr">
        <is>
          <t>Aucun remboursement déclaré effectué sans confirmation PSP; billet invalidé et stock cohérent.</t>
        </is>
      </c>
      <c r="G99" s="28" t="inlineStr">
        <is>
          <t>P0</t>
        </is>
      </c>
      <c r="H99" s="30" t="inlineStr">
        <is>
          <t>À définir</t>
        </is>
      </c>
      <c r="I99" s="25" t="inlineStr">
        <is>
          <t>Non exécuté</t>
        </is>
      </c>
      <c r="J99" s="30" t="inlineStr"/>
      <c r="K99" s="30" t="inlineStr"/>
      <c r="L99" s="30" t="inlineStr"/>
      <c r="M99" s="30" t="inlineStr"/>
      <c r="N99" s="30" t="inlineStr"/>
    </row>
    <row r="100" ht="75" customHeight="1">
      <c r="A100" s="22" t="inlineStr">
        <is>
          <t>QA-ACC-06-01</t>
        </is>
      </c>
      <c r="B100" s="23" t="inlineStr">
        <is>
          <t>ACC-06</t>
        </is>
      </c>
      <c r="C100" s="23" t="inlineStr">
        <is>
          <t>UX / accessibilité</t>
        </is>
      </c>
      <c r="D100" s="23" t="inlineStr">
        <is>
          <t>Vue ACC-06 ouverte sur navigateur desktop et mobile; données de démonstration isolées.</t>
        </is>
      </c>
      <c r="E100" s="23" t="inlineStr">
        <is>
          <t>1. Ouvrir ACC-06. 2. Inspecter présentation, contraste, libellés, focus et responsive à 375px/1440px. 3. Tester clavier/zoom 200%. 4. Comparer composants : Profil, contacts, consentement, préférences.</t>
        </is>
      </c>
      <c r="F100" s="23" t="inlineStr">
        <is>
          <t>Présentation conforme à la charte ; aucune action inaccessible au clavier ; pas de débordement ou occultation. Contrôler aussi : Permettre rectification, contrôle téléphone et suppression selon politique.</t>
        </is>
      </c>
      <c r="G100" s="23" t="inlineStr">
        <is>
          <t>P0</t>
        </is>
      </c>
      <c r="H100" s="26" t="inlineStr">
        <is>
          <t>À définir</t>
        </is>
      </c>
      <c r="I100" s="25" t="inlineStr">
        <is>
          <t>Non exécuté</t>
        </is>
      </c>
      <c r="J100" s="26" t="inlineStr"/>
      <c r="K100" s="26" t="inlineStr"/>
      <c r="L100" s="26" t="inlineStr"/>
      <c r="M100" s="26" t="inlineStr"/>
      <c r="N100" s="26" t="inlineStr"/>
    </row>
    <row r="101" ht="75" customHeight="1">
      <c r="A101" s="27" t="inlineStr">
        <is>
          <t>QA-ACC-06-02</t>
        </is>
      </c>
      <c r="B101" s="28" t="inlineStr">
        <is>
          <t>ACC-06</t>
        </is>
      </c>
      <c r="C101" s="28" t="inlineStr">
        <is>
          <t>Fonctionnel / métier</t>
        </is>
      </c>
      <c r="D101" s="28" t="inlineStr">
        <is>
          <t>Identité test adaptée au rôle « Produit &amp; sécurité », données tests réinitialisées.</t>
        </is>
      </c>
      <c r="E101" s="28" t="inlineStr">
        <is>
          <t>1. Ouvrir ACC-06. 2. Modifier le numéro, se reconnecter, vérifier persistance et audit. 3. Contrôler persistance et état après actualisation. 4. Tester erreur/réseau si applicable.</t>
        </is>
      </c>
      <c r="F101" s="28" t="inlineStr">
        <is>
          <t>Les informations se mettent à jour uniquement pour l’utilisateur concerné.</t>
        </is>
      </c>
      <c r="G101" s="28" t="inlineStr">
        <is>
          <t>P0</t>
        </is>
      </c>
      <c r="H101" s="30" t="inlineStr">
        <is>
          <t>À définir</t>
        </is>
      </c>
      <c r="I101" s="25" t="inlineStr">
        <is>
          <t>Non exécuté</t>
        </is>
      </c>
      <c r="J101" s="30" t="inlineStr"/>
      <c r="K101" s="30" t="inlineStr"/>
      <c r="L101" s="30" t="inlineStr"/>
      <c r="M101" s="30" t="inlineStr"/>
      <c r="N101" s="30" t="inlineStr"/>
    </row>
    <row r="102" ht="75" customHeight="1">
      <c r="A102" s="22" t="inlineStr">
        <is>
          <t>QA-AGT-01-01</t>
        </is>
      </c>
      <c r="B102" s="23" t="inlineStr">
        <is>
          <t>AGT-01</t>
        </is>
      </c>
      <c r="C102" s="23" t="inlineStr">
        <is>
          <t>UX / accessibilité</t>
        </is>
      </c>
      <c r="D102" s="23" t="inlineStr">
        <is>
          <t>Vue AGT-01 ouverte sur navigateur desktop et mobile; données de démonstration isolées.</t>
        </is>
      </c>
      <c r="E102" s="23" t="inlineStr">
        <is>
          <t>1. Ouvrir AGT-01. 2. Inspecter présentation, contraste, libellés, focus et responsive à 375px/1440px. 3. Tester clavier/zoom 200%. 4. Comparer composants : Authentification agent, poste, droits.</t>
        </is>
      </c>
      <c r="F102" s="23" t="inlineStr">
        <is>
          <t>Présentation conforme à la charte ; aucune action inaccessible au clavier ; pas de débordement ou occultation. Contrôler aussi : Authentifier personnel; limiter guichet, contrôle et admin par permissions serveur.</t>
        </is>
      </c>
      <c r="G102" s="23" t="inlineStr">
        <is>
          <t>P0</t>
        </is>
      </c>
      <c r="H102" s="26" t="inlineStr">
        <is>
          <t>À définir</t>
        </is>
      </c>
      <c r="I102" s="25" t="inlineStr">
        <is>
          <t>Non exécuté</t>
        </is>
      </c>
      <c r="J102" s="26" t="inlineStr"/>
      <c r="K102" s="26" t="inlineStr"/>
      <c r="L102" s="26" t="inlineStr"/>
      <c r="M102" s="26" t="inlineStr"/>
      <c r="N102" s="26" t="inlineStr"/>
    </row>
    <row r="103" ht="75" customHeight="1">
      <c r="A103" s="27" t="inlineStr">
        <is>
          <t>QA-AGT-01-02</t>
        </is>
      </c>
      <c r="B103" s="28" t="inlineStr">
        <is>
          <t>AGT-01</t>
        </is>
      </c>
      <c r="C103" s="28" t="inlineStr">
        <is>
          <t>Fonctionnel / métier</t>
        </is>
      </c>
      <c r="D103" s="28" t="inlineStr">
        <is>
          <t>Identité test adaptée au rôle « Guichet &amp; sécurité », données tests réinitialisées.</t>
        </is>
      </c>
      <c r="E103" s="28" t="inlineStr">
        <is>
          <t>1. Ouvrir AGT-01. 2. Tenter ouvrir caisse via profil contrôleur et changer de rôle via URL. 3. Contrôler persistance et état après actualisation. 4. Tester erreur/réseau si applicable.</t>
        </is>
      </c>
      <c r="F103" s="28" t="inlineStr">
        <is>
          <t>Accès refusé hors périmètre; identité de chaque opération tracée.</t>
        </is>
      </c>
      <c r="G103" s="28" t="inlineStr">
        <is>
          <t>P0</t>
        </is>
      </c>
      <c r="H103" s="30" t="inlineStr">
        <is>
          <t>À définir</t>
        </is>
      </c>
      <c r="I103" s="25" t="inlineStr">
        <is>
          <t>Non exécuté</t>
        </is>
      </c>
      <c r="J103" s="30" t="inlineStr"/>
      <c r="K103" s="30" t="inlineStr"/>
      <c r="L103" s="30" t="inlineStr"/>
      <c r="M103" s="30" t="inlineStr"/>
      <c r="N103" s="30" t="inlineStr"/>
    </row>
    <row r="104" ht="75" customHeight="1">
      <c r="A104" s="22" t="inlineStr">
        <is>
          <t>QA-AGT-02-01</t>
        </is>
      </c>
      <c r="B104" s="23" t="inlineStr">
        <is>
          <t>AGT-02</t>
        </is>
      </c>
      <c r="C104" s="23" t="inlineStr">
        <is>
          <t>UX / accessibilité</t>
        </is>
      </c>
      <c r="D104" s="23" t="inlineStr">
        <is>
          <t>Vue AGT-02 ouverte sur navigateur desktop et mobile; données de démonstration isolées.</t>
        </is>
      </c>
      <c r="E104" s="23" t="inlineStr">
        <is>
          <t>1. Ouvrir AGT-02. 2. Inspecter présentation, contraste, libellés, focus et responsive à 375px/1440px. 3. Tester clavier/zoom 200%. 4. Comparer composants : Dashboard guichet, ventes, fréquentation, alertes.</t>
        </is>
      </c>
      <c r="F104" s="23" t="inlineStr">
        <is>
          <t>Présentation conforme à la charte ; aucune action inaccessible au clavier ; pas de débordement ou occultation. Contrôler aussi : Rafraîchir données serveur, signaler mode hors-ligne et date de synchronisation.</t>
        </is>
      </c>
      <c r="G104" s="23" t="inlineStr">
        <is>
          <t>P0</t>
        </is>
      </c>
      <c r="H104" s="26" t="inlineStr">
        <is>
          <t>À définir</t>
        </is>
      </c>
      <c r="I104" s="25" t="inlineStr">
        <is>
          <t>Non exécuté</t>
        </is>
      </c>
      <c r="J104" s="26" t="inlineStr"/>
      <c r="K104" s="26" t="inlineStr"/>
      <c r="L104" s="26" t="inlineStr"/>
      <c r="M104" s="26" t="inlineStr"/>
      <c r="N104" s="26" t="inlineStr"/>
    </row>
    <row r="105" ht="75" customHeight="1">
      <c r="A105" s="27" t="inlineStr">
        <is>
          <t>QA-AGT-02-02</t>
        </is>
      </c>
      <c r="B105" s="28" t="inlineStr">
        <is>
          <t>AGT-02</t>
        </is>
      </c>
      <c r="C105" s="28" t="inlineStr">
        <is>
          <t>Fonctionnel / métier</t>
        </is>
      </c>
      <c r="D105" s="28" t="inlineStr">
        <is>
          <t>Identité test adaptée au rôle « Guichet &amp; sécurité », données tests réinitialisées.</t>
        </is>
      </c>
      <c r="E105" s="28" t="inlineStr">
        <is>
          <t>1. Ouvrir AGT-02. 2. Enregistrer vente depuis autre poste puis comparer compteurs. 3. Contrôler persistance et état après actualisation. 4. Tester erreur/réseau si applicable.</t>
        </is>
      </c>
      <c r="F105" s="28" t="inlineStr">
        <is>
          <t>Écart = 0 entre registres de caisse/guichet sur période identique.</t>
        </is>
      </c>
      <c r="G105" s="28" t="inlineStr">
        <is>
          <t>P0</t>
        </is>
      </c>
      <c r="H105" s="30" t="inlineStr">
        <is>
          <t>À définir</t>
        </is>
      </c>
      <c r="I105" s="25" t="inlineStr">
        <is>
          <t>Non exécuté</t>
        </is>
      </c>
      <c r="J105" s="30" t="inlineStr"/>
      <c r="K105" s="30" t="inlineStr"/>
      <c r="L105" s="30" t="inlineStr"/>
      <c r="M105" s="30" t="inlineStr"/>
      <c r="N105" s="30" t="inlineStr"/>
    </row>
    <row r="106" ht="75" customHeight="1">
      <c r="A106" s="22" t="inlineStr">
        <is>
          <t>QA-AGT-03-01</t>
        </is>
      </c>
      <c r="B106" s="23" t="inlineStr">
        <is>
          <t>AGT-03</t>
        </is>
      </c>
      <c r="C106" s="23" t="inlineStr">
        <is>
          <t>UX / accessibilité</t>
        </is>
      </c>
      <c r="D106" s="23" t="inlineStr">
        <is>
          <t>Vue AGT-03 ouverte sur navigateur desktop et mobile; données de démonstration isolées.</t>
        </is>
      </c>
      <c r="E106" s="23" t="inlineStr">
        <is>
          <t>1. Ouvrir AGT-03. 2. Inspecter présentation, contraste, libellés, focus et responsive à 375px/1440px. 3. Tester clavier/zoom 200%. 4. Comparer composants : Catalogue guichet, quantités, total, annulation.</t>
        </is>
      </c>
      <c r="F106" s="23" t="inlineStr">
        <is>
          <t>Présentation conforme à la charte ; aucune action inaccessible au clavier ; pas de débordement ou occultation. Contrôler aussi : Source tarifaire unique et contrôle de stock avant émission.</t>
        </is>
      </c>
      <c r="G106" s="23" t="inlineStr">
        <is>
          <t>P0</t>
        </is>
      </c>
      <c r="H106" s="26" t="inlineStr">
        <is>
          <t>À définir</t>
        </is>
      </c>
      <c r="I106" s="25" t="inlineStr">
        <is>
          <t>Non exécuté</t>
        </is>
      </c>
      <c r="J106" s="26" t="inlineStr"/>
      <c r="K106" s="26" t="inlineStr"/>
      <c r="L106" s="26" t="inlineStr"/>
      <c r="M106" s="26" t="inlineStr"/>
      <c r="N106" s="26" t="inlineStr"/>
    </row>
    <row r="107" ht="75" customHeight="1">
      <c r="A107" s="27" t="inlineStr">
        <is>
          <t>QA-AGT-03-02</t>
        </is>
      </c>
      <c r="B107" s="28" t="inlineStr">
        <is>
          <t>AGT-03</t>
        </is>
      </c>
      <c r="C107" s="28" t="inlineStr">
        <is>
          <t>Fonctionnel / métier</t>
        </is>
      </c>
      <c r="D107" s="28" t="inlineStr">
        <is>
          <t>Identité test adaptée au rôle « Guichet &amp; sécurité », données tests réinitialisées.</t>
        </is>
      </c>
      <c r="E107" s="28" t="inlineStr">
        <is>
          <t>1. Ouvrir AGT-03. 2. Vendre 2 adultes + 1 enfant, supprimer ligne et changer quantité. 3. Contrôler persistance et état après actualisation. 4. Tester erreur/réseau si applicable.</t>
        </is>
      </c>
      <c r="F107" s="28" t="inlineStr">
        <is>
          <t>Prix conformes PUB-10; total exact; jamais billet à 0 par erreur.</t>
        </is>
      </c>
      <c r="G107" s="28" t="inlineStr">
        <is>
          <t>P0</t>
        </is>
      </c>
      <c r="H107" s="30" t="inlineStr">
        <is>
          <t>À définir</t>
        </is>
      </c>
      <c r="I107" s="25" t="inlineStr">
        <is>
          <t>Non exécuté</t>
        </is>
      </c>
      <c r="J107" s="30" t="inlineStr"/>
      <c r="K107" s="30" t="inlineStr"/>
      <c r="L107" s="30" t="inlineStr"/>
      <c r="M107" s="30" t="inlineStr"/>
      <c r="N107" s="30" t="inlineStr"/>
    </row>
    <row r="108" ht="75" customHeight="1">
      <c r="A108" s="22" t="inlineStr">
        <is>
          <t>QA-AGT-04-01</t>
        </is>
      </c>
      <c r="B108" s="23" t="inlineStr">
        <is>
          <t>AGT-04</t>
        </is>
      </c>
      <c r="C108" s="23" t="inlineStr">
        <is>
          <t>UX / accessibilité</t>
        </is>
      </c>
      <c r="D108" s="23" t="inlineStr">
        <is>
          <t>Vue AGT-04 ouverte sur navigateur desktop et mobile; données de démonstration isolées.</t>
        </is>
      </c>
      <c r="E108" s="23" t="inlineStr">
        <is>
          <t>1. Ouvrir AGT-04. 2. Inspecter présentation, contraste, libellés, focus et responsive à 375px/1440px. 3. Tester clavier/zoom 200%. 4. Comparer composants : Encaissement espèces/MoMo, billet, reçu.</t>
        </is>
      </c>
      <c r="F108" s="23" t="inlineStr">
        <is>
          <t>Présentation conforme à la charte ; aucune action inaccessible au clavier ; pas de débordement ou occultation. Contrôler aussi : Imposer confirmation transaction, montant reçu et identifiant caisse.</t>
        </is>
      </c>
      <c r="G108" s="23" t="inlineStr">
        <is>
          <t>P0</t>
        </is>
      </c>
      <c r="H108" s="26" t="inlineStr">
        <is>
          <t>À définir</t>
        </is>
      </c>
      <c r="I108" s="25" t="inlineStr">
        <is>
          <t>Non exécuté</t>
        </is>
      </c>
      <c r="J108" s="26" t="inlineStr"/>
      <c r="K108" s="26" t="inlineStr"/>
      <c r="L108" s="26" t="inlineStr"/>
      <c r="M108" s="26" t="inlineStr"/>
      <c r="N108" s="26" t="inlineStr"/>
    </row>
    <row r="109" ht="75" customHeight="1">
      <c r="A109" s="27" t="inlineStr">
        <is>
          <t>QA-AGT-04-02</t>
        </is>
      </c>
      <c r="B109" s="28" t="inlineStr">
        <is>
          <t>AGT-04</t>
        </is>
      </c>
      <c r="C109" s="28" t="inlineStr">
        <is>
          <t>Fonctionnel / métier</t>
        </is>
      </c>
      <c r="D109" s="28" t="inlineStr">
        <is>
          <t>Identité test adaptée au rôle « Guichet &amp; sécurité », données tests réinitialisées.</t>
        </is>
      </c>
      <c r="E109" s="28" t="inlineStr">
        <is>
          <t>1. Ouvrir AGT-04. 2. Tester espèces insuffisantes, MoMo échoué, paiement double et reçu. 3. Contrôler persistance et état après actualisation. 4. Tester erreur/réseau si applicable.</t>
        </is>
      </c>
      <c r="F109" s="28" t="inlineStr">
        <is>
          <t>Aucune émission avant règlement vérifié; trace caisse complète.</t>
        </is>
      </c>
      <c r="G109" s="28" t="inlineStr">
        <is>
          <t>P0</t>
        </is>
      </c>
      <c r="H109" s="30" t="inlineStr">
        <is>
          <t>À définir</t>
        </is>
      </c>
      <c r="I109" s="25" t="inlineStr">
        <is>
          <t>Non exécuté</t>
        </is>
      </c>
      <c r="J109" s="30" t="inlineStr"/>
      <c r="K109" s="30" t="inlineStr"/>
      <c r="L109" s="30" t="inlineStr"/>
      <c r="M109" s="30" t="inlineStr"/>
      <c r="N109" s="30" t="inlineStr"/>
    </row>
    <row r="110" ht="75" customHeight="1">
      <c r="A110" s="22" t="inlineStr">
        <is>
          <t>QA-AGT-05-01</t>
        </is>
      </c>
      <c r="B110" s="23" t="inlineStr">
        <is>
          <t>AGT-05</t>
        </is>
      </c>
      <c r="C110" s="23" t="inlineStr">
        <is>
          <t>UX / accessibilité</t>
        </is>
      </c>
      <c r="D110" s="23" t="inlineStr">
        <is>
          <t>Vue AGT-05 ouverte sur navigateur desktop et mobile; données de démonstration isolées.</t>
        </is>
      </c>
      <c r="E110" s="23" t="inlineStr">
        <is>
          <t>1. Ouvrir AGT-05. 2. Inspecter présentation, contraste, libellés, focus et responsive à 375px/1440px. 3. Tester clavier/zoom 200%. 4. Comparer composants : Caméra scan QR, contrôle offline, file locale.</t>
        </is>
      </c>
      <c r="F110" s="23" t="inlineStr">
        <is>
          <t>Présentation conforme à la charte ; aucune action inaccessible au clavier ; pas de débordement ou occultation. Contrôler aussi : Bloquer purge avant accusé serveur; ajouter idempotence et conflits.</t>
        </is>
      </c>
      <c r="G110" s="23" t="inlineStr">
        <is>
          <t>P0</t>
        </is>
      </c>
      <c r="H110" s="26" t="inlineStr">
        <is>
          <t>À définir</t>
        </is>
      </c>
      <c r="I110" s="25" t="inlineStr">
        <is>
          <t>Non exécuté</t>
        </is>
      </c>
      <c r="J110" s="26" t="inlineStr"/>
      <c r="K110" s="26" t="inlineStr"/>
      <c r="L110" s="26" t="inlineStr"/>
      <c r="M110" s="26" t="inlineStr"/>
      <c r="N110" s="26" t="inlineStr"/>
    </row>
    <row r="111" ht="75" customHeight="1">
      <c r="A111" s="27" t="inlineStr">
        <is>
          <t>QA-AGT-05-02</t>
        </is>
      </c>
      <c r="B111" s="28" t="inlineStr">
        <is>
          <t>AGT-05</t>
        </is>
      </c>
      <c r="C111" s="28" t="inlineStr">
        <is>
          <t>Fonctionnel / métier</t>
        </is>
      </c>
      <c r="D111" s="28" t="inlineStr">
        <is>
          <t>Identité test adaptée au rôle « Guichet &amp; sécurité », données tests réinitialisées.</t>
        </is>
      </c>
      <c r="E111" s="28" t="inlineStr">
        <is>
          <t>1. Ouvrir AGT-05. 2. Scanner hors réseau, reconnecter, vérifier présence en base puis répéter sync. 3. Contrôler persistance et état après actualisation. 4. Tester erreur/réseau si applicable.</t>
        </is>
      </c>
      <c r="F111" s="28" t="inlineStr">
        <is>
          <t>Aucun scan perdu, même après redémarrage; double scan rejeté.</t>
        </is>
      </c>
      <c r="G111" s="28" t="inlineStr">
        <is>
          <t>P0</t>
        </is>
      </c>
      <c r="H111" s="30" t="inlineStr">
        <is>
          <t>À définir</t>
        </is>
      </c>
      <c r="I111" s="25" t="inlineStr">
        <is>
          <t>Non exécuté</t>
        </is>
      </c>
      <c r="J111" s="30" t="inlineStr"/>
      <c r="K111" s="30" t="inlineStr"/>
      <c r="L111" s="30" t="inlineStr"/>
      <c r="M111" s="30" t="inlineStr"/>
      <c r="N111" s="30" t="inlineStr"/>
    </row>
    <row r="112" ht="75" customHeight="1">
      <c r="A112" s="22" t="inlineStr">
        <is>
          <t>QA-AGT-06-01</t>
        </is>
      </c>
      <c r="B112" s="23" t="inlineStr">
        <is>
          <t>AGT-06</t>
        </is>
      </c>
      <c r="C112" s="23" t="inlineStr">
        <is>
          <t>UX / accessibilité</t>
        </is>
      </c>
      <c r="D112" s="23" t="inlineStr">
        <is>
          <t>Vue AGT-06 ouverte sur navigateur desktop et mobile; données de démonstration isolées.</t>
        </is>
      </c>
      <c r="E112" s="23" t="inlineStr">
        <is>
          <t>1. Ouvrir AGT-06. 2. Inspecter présentation, contraste, libellés, focus et responsive à 375px/1440px. 3. Tester clavier/zoom 200%. 4. Comparer composants : Sept états QR : valide, déjà utilisé, mauvaise date….</t>
        </is>
      </c>
      <c r="F112" s="23" t="inlineStr">
        <is>
          <t>Présentation conforme à la charte ; aucune action inaccessible au clavier ; pas de débordement ou occultation. Contrôler aussi : Faire calculer verdict par serveur/validateur signé, pas client seul.</t>
        </is>
      </c>
      <c r="G112" s="23" t="inlineStr">
        <is>
          <t>P0</t>
        </is>
      </c>
      <c r="H112" s="26" t="inlineStr">
        <is>
          <t>À définir</t>
        </is>
      </c>
      <c r="I112" s="25" t="inlineStr">
        <is>
          <t>Non exécuté</t>
        </is>
      </c>
      <c r="J112" s="26" t="inlineStr"/>
      <c r="K112" s="26" t="inlineStr"/>
      <c r="L112" s="26" t="inlineStr"/>
      <c r="M112" s="26" t="inlineStr"/>
      <c r="N112" s="26" t="inlineStr"/>
    </row>
    <row r="113" ht="75" customHeight="1">
      <c r="A113" s="27" t="inlineStr">
        <is>
          <t>QA-AGT-06-02</t>
        </is>
      </c>
      <c r="B113" s="28" t="inlineStr">
        <is>
          <t>AGT-06</t>
        </is>
      </c>
      <c r="C113" s="28" t="inlineStr">
        <is>
          <t>Fonctionnel / métier</t>
        </is>
      </c>
      <c r="D113" s="28" t="inlineStr">
        <is>
          <t>Identité test adaptée au rôle « Guichet &amp; sécurité », données tests réinitialisées.</t>
        </is>
      </c>
      <c r="E113" s="28" t="inlineStr">
        <is>
          <t>1. Ouvrir AGT-06. 2. Injecter QR périmé, déjà utilisé, fausse signature, mauvaise date. 3. Contrôler persistance et état après actualisation. 4. Tester erreur/réseau si applicable.</t>
        </is>
      </c>
      <c r="F113" s="28" t="inlineStr">
        <is>
          <t>Verdict correct dans 7/7 cas; refus côté serveur traçable.</t>
        </is>
      </c>
      <c r="G113" s="28" t="inlineStr">
        <is>
          <t>P0</t>
        </is>
      </c>
      <c r="H113" s="30" t="inlineStr">
        <is>
          <t>À définir</t>
        </is>
      </c>
      <c r="I113" s="25" t="inlineStr">
        <is>
          <t>Non exécuté</t>
        </is>
      </c>
      <c r="J113" s="30" t="inlineStr"/>
      <c r="K113" s="30" t="inlineStr"/>
      <c r="L113" s="30" t="inlineStr"/>
      <c r="M113" s="30" t="inlineStr"/>
      <c r="N113" s="30" t="inlineStr"/>
    </row>
    <row r="114" ht="75" customHeight="1">
      <c r="A114" s="22" t="inlineStr">
        <is>
          <t>QA-AGT-07-01</t>
        </is>
      </c>
      <c r="B114" s="23" t="inlineStr">
        <is>
          <t>AGT-07</t>
        </is>
      </c>
      <c r="C114" s="23" t="inlineStr">
        <is>
          <t>UX / accessibilité</t>
        </is>
      </c>
      <c r="D114" s="23" t="inlineStr">
        <is>
          <t>Vue AGT-07 ouverte sur navigateur desktop et mobile; données de démonstration isolées.</t>
        </is>
      </c>
      <c r="E114" s="23" t="inlineStr">
        <is>
          <t>1. Ouvrir AGT-07. 2. Inspecter présentation, contraste, libellés, focus et responsive à 375px/1440px. 3. Tester clavier/zoom 200%. 4. Comparer composants : Recherche manuelle par nom, téléphone, référence.</t>
        </is>
      </c>
      <c r="F114" s="23" t="inlineStr">
        <is>
          <t>Présentation conforme à la charte ; aucune action inaccessible au clavier ; pas de débordement ou occultation. Contrôler aussi : Limiter la recherche au personnel, masquer données et tracer consultation.</t>
        </is>
      </c>
      <c r="G114" s="23" t="inlineStr">
        <is>
          <t>P0</t>
        </is>
      </c>
      <c r="H114" s="26" t="inlineStr">
        <is>
          <t>À définir</t>
        </is>
      </c>
      <c r="I114" s="25" t="inlineStr">
        <is>
          <t>Non exécuté</t>
        </is>
      </c>
      <c r="J114" s="26" t="inlineStr"/>
      <c r="K114" s="26" t="inlineStr"/>
      <c r="L114" s="26" t="inlineStr"/>
      <c r="M114" s="26" t="inlineStr"/>
      <c r="N114" s="26" t="inlineStr"/>
    </row>
    <row r="115" ht="75" customHeight="1">
      <c r="A115" s="27" t="inlineStr">
        <is>
          <t>QA-AGT-07-02</t>
        </is>
      </c>
      <c r="B115" s="28" t="inlineStr">
        <is>
          <t>AGT-07</t>
        </is>
      </c>
      <c r="C115" s="28" t="inlineStr">
        <is>
          <t>Fonctionnel / métier</t>
        </is>
      </c>
      <c r="D115" s="28" t="inlineStr">
        <is>
          <t>Identité test adaptée au rôle « Guichet &amp; sécurité », données tests réinitialisées.</t>
        </is>
      </c>
      <c r="E115" s="28" t="inlineStr">
        <is>
          <t>1. Ouvrir AGT-07. 2. Chercher référence inexistante et homonymes; tester rôle non habilité. 3. Contrôler persistance et état après actualisation. 4. Tester erreur/réseau si applicable.</t>
        </is>
      </c>
      <c r="F115" s="28" t="inlineStr">
        <is>
          <t>Aucune divulgation aux profils non autorisés; résultats désambiguïsés.</t>
        </is>
      </c>
      <c r="G115" s="28" t="inlineStr">
        <is>
          <t>P0</t>
        </is>
      </c>
      <c r="H115" s="30" t="inlineStr">
        <is>
          <t>À définir</t>
        </is>
      </c>
      <c r="I115" s="25" t="inlineStr">
        <is>
          <t>Non exécuté</t>
        </is>
      </c>
      <c r="J115" s="30" t="inlineStr"/>
      <c r="K115" s="30" t="inlineStr"/>
      <c r="L115" s="30" t="inlineStr"/>
      <c r="M115" s="30" t="inlineStr"/>
      <c r="N115" s="30" t="inlineStr"/>
    </row>
    <row r="116" ht="75" customHeight="1">
      <c r="A116" s="22" t="inlineStr">
        <is>
          <t>QA-AGT-08-01</t>
        </is>
      </c>
      <c r="B116" s="23" t="inlineStr">
        <is>
          <t>AGT-08</t>
        </is>
      </c>
      <c r="C116" s="23" t="inlineStr">
        <is>
          <t>UX / accessibilité</t>
        </is>
      </c>
      <c r="D116" s="23" t="inlineStr">
        <is>
          <t>Vue AGT-08 ouverte sur navigateur desktop et mobile; données de démonstration isolées.</t>
        </is>
      </c>
      <c r="E116" s="23" t="inlineStr">
        <is>
          <t>1. Ouvrir AGT-08. 2. Inspecter présentation, contraste, libellés, focus et responsive à 375px/1440px. 3. Tester clavier/zoom 200%. 4. Comparer composants : Journal ventes/entrées, filtres, export.</t>
        </is>
      </c>
      <c r="F116" s="23" t="inlineStr">
        <is>
          <t>Présentation conforme à la charte ; aucune action inaccessible au clavier ; pas de débordement ou occultation. Contrôler aussi : Garantir journal append-only côté serveur et export horodaté.</t>
        </is>
      </c>
      <c r="G116" s="23" t="inlineStr">
        <is>
          <t>P0</t>
        </is>
      </c>
      <c r="H116" s="26" t="inlineStr">
        <is>
          <t>À définir</t>
        </is>
      </c>
      <c r="I116" s="25" t="inlineStr">
        <is>
          <t>Non exécuté</t>
        </is>
      </c>
      <c r="J116" s="26" t="inlineStr"/>
      <c r="K116" s="26" t="inlineStr"/>
      <c r="L116" s="26" t="inlineStr"/>
      <c r="M116" s="26" t="inlineStr"/>
      <c r="N116" s="26" t="inlineStr"/>
    </row>
    <row r="117" ht="75" customHeight="1">
      <c r="A117" s="27" t="inlineStr">
        <is>
          <t>QA-AGT-08-02</t>
        </is>
      </c>
      <c r="B117" s="28" t="inlineStr">
        <is>
          <t>AGT-08</t>
        </is>
      </c>
      <c r="C117" s="28" t="inlineStr">
        <is>
          <t>Fonctionnel / métier</t>
        </is>
      </c>
      <c r="D117" s="28" t="inlineStr">
        <is>
          <t>Identité test adaptée au rôle « Guichet &amp; sécurité », données tests réinitialisées.</t>
        </is>
      </c>
      <c r="E117" s="28" t="inlineStr">
        <is>
          <t>1. Ouvrir AGT-08. 2. Comparer 3 ventes, annulation et 2 scans dans journal. 3. Contrôler persistance et état après actualisation. 4. Tester erreur/réseau si applicable.</t>
        </is>
      </c>
      <c r="F117" s="28" t="inlineStr">
        <is>
          <t>Chaque opération une fois, auteur/horodatage et montant cohérents.</t>
        </is>
      </c>
      <c r="G117" s="28" t="inlineStr">
        <is>
          <t>P0</t>
        </is>
      </c>
      <c r="H117" s="30" t="inlineStr">
        <is>
          <t>À définir</t>
        </is>
      </c>
      <c r="I117" s="25" t="inlineStr">
        <is>
          <t>Non exécuté</t>
        </is>
      </c>
      <c r="J117" s="30" t="inlineStr"/>
      <c r="K117" s="30" t="inlineStr"/>
      <c r="L117" s="30" t="inlineStr"/>
      <c r="M117" s="30" t="inlineStr"/>
      <c r="N117" s="30" t="inlineStr"/>
    </row>
    <row r="118" ht="75" customHeight="1">
      <c r="A118" s="22" t="inlineStr">
        <is>
          <t>QA-AGT-09-01</t>
        </is>
      </c>
      <c r="B118" s="23" t="inlineStr">
        <is>
          <t>AGT-09</t>
        </is>
      </c>
      <c r="C118" s="23" t="inlineStr">
        <is>
          <t>UX / accessibilité</t>
        </is>
      </c>
      <c r="D118" s="23" t="inlineStr">
        <is>
          <t>Vue AGT-09 ouverte sur navigateur desktop et mobile; données de démonstration isolées.</t>
        </is>
      </c>
      <c r="E118" s="23" t="inlineStr">
        <is>
          <t>1. Ouvrir AGT-09. 2. Inspecter présentation, contraste, libellés, focus et responsive à 375px/1440px. 3. Tester clavier/zoom 200%. 4. Comparer composants : Clôture contradictoire, décompte billets, écarts, PV.</t>
        </is>
      </c>
      <c r="F118" s="23" t="inlineStr">
        <is>
          <t>Présentation conforme à la charte ; aucune action inaccessible au clavier ; pas de débordement ou occultation. Contrôler aussi : Démarrer comptage à zéro; signature contradictoire; verrouiller post-clôture.</t>
        </is>
      </c>
      <c r="G118" s="23" t="inlineStr">
        <is>
          <t>P0</t>
        </is>
      </c>
      <c r="H118" s="26" t="inlineStr">
        <is>
          <t>À définir</t>
        </is>
      </c>
      <c r="I118" s="25" t="inlineStr">
        <is>
          <t>Non exécuté</t>
        </is>
      </c>
      <c r="J118" s="26" t="inlineStr"/>
      <c r="K118" s="26" t="inlineStr"/>
      <c r="L118" s="26" t="inlineStr"/>
      <c r="M118" s="26" t="inlineStr"/>
      <c r="N118" s="26" t="inlineStr"/>
    </row>
    <row r="119" ht="75" customHeight="1">
      <c r="A119" s="27" t="inlineStr">
        <is>
          <t>QA-AGT-09-02</t>
        </is>
      </c>
      <c r="B119" s="28" t="inlineStr">
        <is>
          <t>AGT-09</t>
        </is>
      </c>
      <c r="C119" s="28" t="inlineStr">
        <is>
          <t>Fonctionnel / métier</t>
        </is>
      </c>
      <c r="D119" s="28" t="inlineStr">
        <is>
          <t>Identité test adaptée au rôle « Guichet &amp; sécurité », données tests réinitialisées.</t>
        </is>
      </c>
      <c r="E119" s="28" t="inlineStr">
        <is>
          <t>1. Ouvrir AGT-09. 2. Clôturer sans saisie, avec écart 2 001 FCFA et avec caisse équilibrée. 3. Contrôler persistance et état après actualisation. 4. Tester erreur/réseau si applicable.</t>
        </is>
      </c>
      <c r="F119" s="28" t="inlineStr">
        <is>
          <t>Pas de caisse « conforme » par défaut; anomalie &gt; seuil bloque validation ordinaire.</t>
        </is>
      </c>
      <c r="G119" s="28" t="inlineStr">
        <is>
          <t>P0</t>
        </is>
      </c>
      <c r="H119" s="30" t="inlineStr">
        <is>
          <t>À définir</t>
        </is>
      </c>
      <c r="I119" s="25" t="inlineStr">
        <is>
          <t>Non exécuté</t>
        </is>
      </c>
      <c r="J119" s="30" t="inlineStr"/>
      <c r="K119" s="30" t="inlineStr"/>
      <c r="L119" s="30" t="inlineStr"/>
      <c r="M119" s="30" t="inlineStr"/>
      <c r="N119" s="30" t="inlineStr"/>
    </row>
    <row r="120" ht="75" customHeight="1">
      <c r="A120" s="22" t="inlineStr">
        <is>
          <t>QA-EXP-01-01</t>
        </is>
      </c>
      <c r="B120" s="23" t="inlineStr">
        <is>
          <t>EXP-01</t>
        </is>
      </c>
      <c r="C120" s="23" t="inlineStr">
        <is>
          <t>UX / accessibilité</t>
        </is>
      </c>
      <c r="D120" s="23" t="inlineStr">
        <is>
          <t>Vue EXP-01 ouverte sur navigateur desktop et mobile; données de démonstration isolées.</t>
        </is>
      </c>
      <c r="E120" s="23" t="inlineStr">
        <is>
          <t>1. Ouvrir EXP-01. 2. Inspecter présentation, contraste, libellés, focus et responsive à 375px/1440px. 3. Tester clavier/zoom 200%. 4. Comparer composants : Synthèse activité du jour, urgences, capacités, ventes.</t>
        </is>
      </c>
      <c r="F120" s="23" t="inlineStr">
        <is>
          <t>Présentation conforme à la charte ; aucune action inaccessible au clavier ; pas de débordement ou occultation. Contrôler aussi : Distinguer données live/échantillon, privilégier alertes opérationnelles.</t>
        </is>
      </c>
      <c r="G120" s="23" t="inlineStr">
        <is>
          <t>P0</t>
        </is>
      </c>
      <c r="H120" s="26" t="inlineStr">
        <is>
          <t>À définir</t>
        </is>
      </c>
      <c r="I120" s="25" t="inlineStr">
        <is>
          <t>Non exécuté</t>
        </is>
      </c>
      <c r="J120" s="26" t="inlineStr"/>
      <c r="K120" s="26" t="inlineStr"/>
      <c r="L120" s="26" t="inlineStr"/>
      <c r="M120" s="26" t="inlineStr"/>
      <c r="N120" s="26" t="inlineStr"/>
    </row>
    <row r="121" ht="75" customHeight="1">
      <c r="A121" s="27" t="inlineStr">
        <is>
          <t>QA-EXP-01-02</t>
        </is>
      </c>
      <c r="B121" s="28" t="inlineStr">
        <is>
          <t>EXP-01</t>
        </is>
      </c>
      <c r="C121" s="28" t="inlineStr">
        <is>
          <t>Fonctionnel / métier</t>
        </is>
      </c>
      <c r="D121" s="28" t="inlineStr">
        <is>
          <t>Identité test adaptée au rôle « Exploitation &amp; backend », données tests réinitialisées.</t>
        </is>
      </c>
      <c r="E121" s="28" t="inlineStr">
        <is>
          <t>1. Ouvrir EXP-01. 2. Modifier une réservation et actualiser dashboard EXP. 3. Contrôler persistance et état après actualisation. 4. Tester erreur/réseau si applicable.</t>
        </is>
      </c>
      <c r="F121" s="28" t="inlineStr">
        <is>
          <t>Indicateurs recalculés avec date de synchronisation; aucune donnée démo en prod.</t>
        </is>
      </c>
      <c r="G121" s="28" t="inlineStr">
        <is>
          <t>P0</t>
        </is>
      </c>
      <c r="H121" s="30" t="inlineStr">
        <is>
          <t>À définir</t>
        </is>
      </c>
      <c r="I121" s="25" t="inlineStr">
        <is>
          <t>Non exécuté</t>
        </is>
      </c>
      <c r="J121" s="30" t="inlineStr"/>
      <c r="K121" s="30" t="inlineStr"/>
      <c r="L121" s="30" t="inlineStr"/>
      <c r="M121" s="30" t="inlineStr"/>
      <c r="N121" s="30" t="inlineStr"/>
    </row>
    <row r="122" ht="75" customHeight="1">
      <c r="A122" s="22" t="inlineStr">
        <is>
          <t>QA-EXP-02-01</t>
        </is>
      </c>
      <c r="B122" s="23" t="inlineStr">
        <is>
          <t>EXP-02</t>
        </is>
      </c>
      <c r="C122" s="23" t="inlineStr">
        <is>
          <t>UX / accessibilité</t>
        </is>
      </c>
      <c r="D122" s="23" t="inlineStr">
        <is>
          <t>Vue EXP-02 ouverte sur navigateur desktop et mobile; données de démonstration isolées.</t>
        </is>
      </c>
      <c r="E122" s="23" t="inlineStr">
        <is>
          <t>1. Ouvrir EXP-02. 2. Inspecter présentation, contraste, libellés, focus et responsive à 375px/1440px. 3. Tester clavier/zoom 200%. 4. Comparer composants : Calendrier réservations, jauges, conflits.</t>
        </is>
      </c>
      <c r="F122" s="23" t="inlineStr">
        <is>
          <t>Présentation conforme à la charte ; aucune action inaccessible au clavier ; pas de débordement ou occultation. Contrôler aussi : Utiliser réservation atomique en base et jauge par ressource/date.</t>
        </is>
      </c>
      <c r="G122" s="23" t="inlineStr">
        <is>
          <t>P0</t>
        </is>
      </c>
      <c r="H122" s="26" t="inlineStr">
        <is>
          <t>À définir</t>
        </is>
      </c>
      <c r="I122" s="25" t="inlineStr">
        <is>
          <t>Non exécuté</t>
        </is>
      </c>
      <c r="J122" s="26" t="inlineStr"/>
      <c r="K122" s="26" t="inlineStr"/>
      <c r="L122" s="26" t="inlineStr"/>
      <c r="M122" s="26" t="inlineStr"/>
      <c r="N122" s="26" t="inlineStr"/>
    </row>
    <row r="123" ht="75" customHeight="1">
      <c r="A123" s="27" t="inlineStr">
        <is>
          <t>QA-EXP-02-02</t>
        </is>
      </c>
      <c r="B123" s="28" t="inlineStr">
        <is>
          <t>EXP-02</t>
        </is>
      </c>
      <c r="C123" s="28" t="inlineStr">
        <is>
          <t>Fonctionnel / métier</t>
        </is>
      </c>
      <c r="D123" s="28" t="inlineStr">
        <is>
          <t>Identité test adaptée au rôle « Exploitation &amp; backend », données tests réinitialisées.</t>
        </is>
      </c>
      <c r="E123" s="28" t="inlineStr">
        <is>
          <t>1. Ouvrir EXP-02. 2. Réserver simultanément dernière place sur deux appareils. 3. Contrôler persistance et état après actualisation. 4. Tester erreur/réseau si applicable.</t>
        </is>
      </c>
      <c r="F123" s="28" t="inlineStr">
        <is>
          <t>Une seule réservation confirmée; jamais de surbooking.</t>
        </is>
      </c>
      <c r="G123" s="28" t="inlineStr">
        <is>
          <t>P0</t>
        </is>
      </c>
      <c r="H123" s="30" t="inlineStr">
        <is>
          <t>À définir</t>
        </is>
      </c>
      <c r="I123" s="25" t="inlineStr">
        <is>
          <t>Non exécuté</t>
        </is>
      </c>
      <c r="J123" s="30" t="inlineStr"/>
      <c r="K123" s="30" t="inlineStr"/>
      <c r="L123" s="30" t="inlineStr"/>
      <c r="M123" s="30" t="inlineStr"/>
      <c r="N123" s="30" t="inlineStr"/>
    </row>
    <row r="124" ht="75" customHeight="1">
      <c r="A124" s="22" t="inlineStr">
        <is>
          <t>QA-EXP-03-01</t>
        </is>
      </c>
      <c r="B124" s="23" t="inlineStr">
        <is>
          <t>EXP-03</t>
        </is>
      </c>
      <c r="C124" s="23" t="inlineStr">
        <is>
          <t>UX / accessibilité</t>
        </is>
      </c>
      <c r="D124" s="23" t="inlineStr">
        <is>
          <t>Vue EXP-03 ouverte sur navigateur desktop et mobile; données de démonstration isolées.</t>
        </is>
      </c>
      <c r="E124" s="23" t="inlineStr">
        <is>
          <t>1. Ouvrir EXP-03. 2. Inspecter présentation, contraste, libellés, focus et responsive à 375px/1440px. 3. Tester clavier/zoom 200%. 4. Comparer composants : Devis groupe, suivi, capacité salle/navettes.</t>
        </is>
      </c>
      <c r="F124" s="23" t="inlineStr">
        <is>
          <t>Présentation conforme à la charte ; aucune action inaccessible au clavier ; pas de débordement ou occultation. Contrôler aussi : Séparer demande, option bloquée et réservation confirmée.</t>
        </is>
      </c>
      <c r="G124" s="23" t="inlineStr">
        <is>
          <t>P0</t>
        </is>
      </c>
      <c r="H124" s="26" t="inlineStr">
        <is>
          <t>À définir</t>
        </is>
      </c>
      <c r="I124" s="25" t="inlineStr">
        <is>
          <t>Non exécuté</t>
        </is>
      </c>
      <c r="J124" s="26" t="inlineStr"/>
      <c r="K124" s="26" t="inlineStr"/>
      <c r="L124" s="26" t="inlineStr"/>
      <c r="M124" s="26" t="inlineStr"/>
      <c r="N124" s="26" t="inlineStr"/>
    </row>
    <row r="125" ht="75" customHeight="1">
      <c r="A125" s="27" t="inlineStr">
        <is>
          <t>QA-EXP-03-02</t>
        </is>
      </c>
      <c r="B125" s="28" t="inlineStr">
        <is>
          <t>EXP-03</t>
        </is>
      </c>
      <c r="C125" s="28" t="inlineStr">
        <is>
          <t>Fonctionnel / métier</t>
        </is>
      </c>
      <c r="D125" s="28" t="inlineStr">
        <is>
          <t>Identité test adaptée au rôle « Exploitation &amp; backend », données tests réinitialisées.</t>
        </is>
      </c>
      <c r="E125" s="28" t="inlineStr">
        <is>
          <t>1. Ouvrir EXP-03. 2. Créer deux demandes de salle même jour avec conflit et option. 3. Contrôler persistance et état après actualisation. 4. Tester erreur/réseau si applicable.</t>
        </is>
      </c>
      <c r="F125" s="28" t="inlineStr">
        <is>
          <t>Aucune date réellement bloquée par simple demande non acceptée.</t>
        </is>
      </c>
      <c r="G125" s="28" t="inlineStr">
        <is>
          <t>P0</t>
        </is>
      </c>
      <c r="H125" s="30" t="inlineStr">
        <is>
          <t>À définir</t>
        </is>
      </c>
      <c r="I125" s="25" t="inlineStr">
        <is>
          <t>Non exécuté</t>
        </is>
      </c>
      <c r="J125" s="30" t="inlineStr"/>
      <c r="K125" s="30" t="inlineStr"/>
      <c r="L125" s="30" t="inlineStr"/>
      <c r="M125" s="30" t="inlineStr"/>
      <c r="N125" s="30" t="inlineStr"/>
    </row>
    <row r="126" ht="75" customHeight="1">
      <c r="A126" s="22" t="inlineStr">
        <is>
          <t>QA-EXP-04-01</t>
        </is>
      </c>
      <c r="B126" s="23" t="inlineStr">
        <is>
          <t>EXP-04</t>
        </is>
      </c>
      <c r="C126" s="23" t="inlineStr">
        <is>
          <t>UX / accessibilité</t>
        </is>
      </c>
      <c r="D126" s="23" t="inlineStr">
        <is>
          <t>Vue EXP-04 ouverte sur navigateur desktop et mobile; données de démonstration isolées.</t>
        </is>
      </c>
      <c r="E126" s="23" t="inlineStr">
        <is>
          <t>1. Ouvrir EXP-04. 2. Inspecter présentation, contraste, libellés, focus et responsive à 375px/1440px. 3. Tester clavier/zoom 200%. 4. Comparer composants : Calendrier et stock chambres Ewondo/Chanthel/Bene.</t>
        </is>
      </c>
      <c r="F126" s="23" t="inlineStr">
        <is>
          <t>Présentation conforme à la charte ; aucune action inaccessible au clavier ; pas de débordement ou occultation. Contrôler aussi : Gérer inventaire par chambre et par nuit avec maintenance/indisponibilité.</t>
        </is>
      </c>
      <c r="G126" s="23" t="inlineStr">
        <is>
          <t>P0</t>
        </is>
      </c>
      <c r="H126" s="26" t="inlineStr">
        <is>
          <t>À définir</t>
        </is>
      </c>
      <c r="I126" s="25" t="inlineStr">
        <is>
          <t>Non exécuté</t>
        </is>
      </c>
      <c r="J126" s="26" t="inlineStr"/>
      <c r="K126" s="26" t="inlineStr"/>
      <c r="L126" s="26" t="inlineStr"/>
      <c r="M126" s="26" t="inlineStr"/>
      <c r="N126" s="26" t="inlineStr"/>
    </row>
    <row r="127" ht="75" customHeight="1">
      <c r="A127" s="27" t="inlineStr">
        <is>
          <t>QA-EXP-04-02</t>
        </is>
      </c>
      <c r="B127" s="28" t="inlineStr">
        <is>
          <t>EXP-04</t>
        </is>
      </c>
      <c r="C127" s="28" t="inlineStr">
        <is>
          <t>Fonctionnel / métier</t>
        </is>
      </c>
      <c r="D127" s="28" t="inlineStr">
        <is>
          <t>Identité test adaptée au rôle « Exploitation &amp; backend », données tests réinitialisées.</t>
        </is>
      </c>
      <c r="E127" s="28" t="inlineStr">
        <is>
          <t>1. Ouvrir EXP-04. 2. Réserver une chambre sur dates chevauchantes, puis annuler. 3. Contrôler persistance et état après actualisation. 4. Tester erreur/réseau si applicable.</t>
        </is>
      </c>
      <c r="F127" s="28" t="inlineStr">
        <is>
          <t>Occupation jamais supérieure au stock réel; libération dans tous canaux.</t>
        </is>
      </c>
      <c r="G127" s="28" t="inlineStr">
        <is>
          <t>P0</t>
        </is>
      </c>
      <c r="H127" s="30" t="inlineStr">
        <is>
          <t>À définir</t>
        </is>
      </c>
      <c r="I127" s="25" t="inlineStr">
        <is>
          <t>Non exécuté</t>
        </is>
      </c>
      <c r="J127" s="30" t="inlineStr"/>
      <c r="K127" s="30" t="inlineStr"/>
      <c r="L127" s="30" t="inlineStr"/>
      <c r="M127" s="30" t="inlineStr"/>
      <c r="N127" s="30" t="inlineStr"/>
    </row>
    <row r="128" ht="75" customHeight="1">
      <c r="A128" s="22" t="inlineStr">
        <is>
          <t>QA-EXP-05-01</t>
        </is>
      </c>
      <c r="B128" s="23" t="inlineStr">
        <is>
          <t>EXP-05</t>
        </is>
      </c>
      <c r="C128" s="23" t="inlineStr">
        <is>
          <t>UX / accessibilité</t>
        </is>
      </c>
      <c r="D128" s="23" t="inlineStr">
        <is>
          <t>Vue EXP-05 ouverte sur navigateur desktop et mobile; données de démonstration isolées.</t>
        </is>
      </c>
      <c r="E128" s="23" t="inlineStr">
        <is>
          <t>1. Ouvrir EXP-05. 2. Inspecter présentation, contraste, libellés, focus et responsive à 375px/1440px. 3. Tester clavier/zoom 200%. 4. Comparer composants : Réservations restaurants/espaces, capacité, horaires.</t>
        </is>
      </c>
      <c r="F128" s="23" t="inlineStr">
        <is>
          <t>Présentation conforme à la charte ; aucune action inaccessible au clavier ; pas de débordement ou occultation. Contrôler aussi : Unifier créneaux et ressources, précommandes et conditions météo.</t>
        </is>
      </c>
      <c r="G128" s="23" t="inlineStr">
        <is>
          <t>P0</t>
        </is>
      </c>
      <c r="H128" s="26" t="inlineStr">
        <is>
          <t>À définir</t>
        </is>
      </c>
      <c r="I128" s="25" t="inlineStr">
        <is>
          <t>Non exécuté</t>
        </is>
      </c>
      <c r="J128" s="26" t="inlineStr"/>
      <c r="K128" s="26" t="inlineStr"/>
      <c r="L128" s="26" t="inlineStr"/>
      <c r="M128" s="26" t="inlineStr"/>
      <c r="N128" s="26" t="inlineStr"/>
    </row>
    <row r="129" ht="75" customHeight="1">
      <c r="A129" s="27" t="inlineStr">
        <is>
          <t>QA-EXP-05-02</t>
        </is>
      </c>
      <c r="B129" s="28" t="inlineStr">
        <is>
          <t>EXP-05</t>
        </is>
      </c>
      <c r="C129" s="28" t="inlineStr">
        <is>
          <t>Fonctionnel / métier</t>
        </is>
      </c>
      <c r="D129" s="28" t="inlineStr">
        <is>
          <t>Identité test adaptée au rôle « Exploitation &amp; backend », données tests réinitialisées.</t>
        </is>
      </c>
      <c r="E129" s="28" t="inlineStr">
        <is>
          <t>1. Ouvrir EXP-05. 2. Réserver 2 pergolas sur dernière disponibilité et menu sans prix. 3. Contrôler persistance et état après actualisation. 4. Tester erreur/réseau si applicable.</t>
        </is>
      </c>
      <c r="F129" s="28" t="inlineStr">
        <is>
          <t>Quotas atomiques; précommandes non payables sans prix valide.</t>
        </is>
      </c>
      <c r="G129" s="28" t="inlineStr">
        <is>
          <t>P0</t>
        </is>
      </c>
      <c r="H129" s="30" t="inlineStr">
        <is>
          <t>À définir</t>
        </is>
      </c>
      <c r="I129" s="25" t="inlineStr">
        <is>
          <t>Non exécuté</t>
        </is>
      </c>
      <c r="J129" s="30" t="inlineStr"/>
      <c r="K129" s="30" t="inlineStr"/>
      <c r="L129" s="30" t="inlineStr"/>
      <c r="M129" s="30" t="inlineStr"/>
      <c r="N129" s="30" t="inlineStr"/>
    </row>
    <row r="130" ht="75" customHeight="1">
      <c r="A130" s="22" t="inlineStr">
        <is>
          <t>QA-EXP-06-01</t>
        </is>
      </c>
      <c r="B130" s="23" t="inlineStr">
        <is>
          <t>EXP-06</t>
        </is>
      </c>
      <c r="C130" s="23" t="inlineStr">
        <is>
          <t>UX / accessibilité</t>
        </is>
      </c>
      <c r="D130" s="23" t="inlineStr">
        <is>
          <t>Vue EXP-06 ouverte sur navigateur desktop et mobile; données de démonstration isolées.</t>
        </is>
      </c>
      <c r="E130" s="23" t="inlineStr">
        <is>
          <t>1. Ouvrir EXP-06. 2. Inspecter présentation, contraste, libellés, focus et responsive à 375px/1440px. 3. Tester clavier/zoom 200%. 4. Comparer composants : Candidatures CFP, suivi, pièces, statuts.</t>
        </is>
      </c>
      <c r="F130" s="23" t="inlineStr">
        <is>
          <t>Présentation conforme à la charte ; aucune action inaccessible au clavier ; pas de débordement ou occultation. Contrôler aussi : Statuts normalisés, accès limité, durée conservation et réponse.</t>
        </is>
      </c>
      <c r="G130" s="23" t="inlineStr">
        <is>
          <t>P1</t>
        </is>
      </c>
      <c r="H130" s="26" t="inlineStr">
        <is>
          <t>À définir</t>
        </is>
      </c>
      <c r="I130" s="25" t="inlineStr">
        <is>
          <t>Non exécuté</t>
        </is>
      </c>
      <c r="J130" s="26" t="inlineStr"/>
      <c r="K130" s="26" t="inlineStr"/>
      <c r="L130" s="26" t="inlineStr"/>
      <c r="M130" s="26" t="inlineStr"/>
      <c r="N130" s="26" t="inlineStr"/>
    </row>
    <row r="131" ht="75" customHeight="1">
      <c r="A131" s="27" t="inlineStr">
        <is>
          <t>QA-EXP-06-02</t>
        </is>
      </c>
      <c r="B131" s="28" t="inlineStr">
        <is>
          <t>EXP-06</t>
        </is>
      </c>
      <c r="C131" s="28" t="inlineStr">
        <is>
          <t>Fonctionnel / métier</t>
        </is>
      </c>
      <c r="D131" s="28" t="inlineStr">
        <is>
          <t>Identité test adaptée au rôle « Exploitation &amp; backend », données tests réinitialisées.</t>
        </is>
      </c>
      <c r="E131" s="28" t="inlineStr">
        <is>
          <t>1. Ouvrir EXP-06. 2. Soumettre candidature puis changer statut et consulter côté candidat. 3. Contrôler persistance et état après actualisation. 4. Tester erreur/réseau si applicable.</t>
        </is>
      </c>
      <c r="F131" s="28" t="inlineStr">
        <is>
          <t>Candidature rattachée à bonne personne, historisée et protégée.</t>
        </is>
      </c>
      <c r="G131" s="28" t="inlineStr">
        <is>
          <t>P1</t>
        </is>
      </c>
      <c r="H131" s="30" t="inlineStr">
        <is>
          <t>À définir</t>
        </is>
      </c>
      <c r="I131" s="25" t="inlineStr">
        <is>
          <t>Non exécuté</t>
        </is>
      </c>
      <c r="J131" s="30" t="inlineStr"/>
      <c r="K131" s="30" t="inlineStr"/>
      <c r="L131" s="30" t="inlineStr"/>
      <c r="M131" s="30" t="inlineStr"/>
      <c r="N131" s="30" t="inlineStr"/>
    </row>
    <row r="132" ht="75" customHeight="1">
      <c r="A132" s="22" t="inlineStr">
        <is>
          <t>QA-EXP-07-01</t>
        </is>
      </c>
      <c r="B132" s="23" t="inlineStr">
        <is>
          <t>EXP-07</t>
        </is>
      </c>
      <c r="C132" s="23" t="inlineStr">
        <is>
          <t>UX / accessibilité</t>
        </is>
      </c>
      <c r="D132" s="23" t="inlineStr">
        <is>
          <t>Vue EXP-07 ouverte sur navigateur desktop et mobile; données de démonstration isolées.</t>
        </is>
      </c>
      <c r="E132" s="23" t="inlineStr">
        <is>
          <t>1. Ouvrir EXP-07. 2. Inspecter présentation, contraste, libellés, focus et responsive à 375px/1440px. 3. Tester clavier/zoom 200%. 4. Comparer composants : Centre messages, WhatsApp, réclamations, demandes.</t>
        </is>
      </c>
      <c r="F132" s="23" t="inlineStr">
        <is>
          <t>Présentation conforme à la charte ; aucune action inaccessible au clavier ; pas de débordement ou occultation. Contrôler aussi : Créer omnicanalité sans fausse confirmation d’envoi; historiser accord/contact.</t>
        </is>
      </c>
      <c r="G132" s="23" t="inlineStr">
        <is>
          <t>P1</t>
        </is>
      </c>
      <c r="H132" s="26" t="inlineStr">
        <is>
          <t>À définir</t>
        </is>
      </c>
      <c r="I132" s="25" t="inlineStr">
        <is>
          <t>Non exécuté</t>
        </is>
      </c>
      <c r="J132" s="26" t="inlineStr"/>
      <c r="K132" s="26" t="inlineStr"/>
      <c r="L132" s="26" t="inlineStr"/>
      <c r="M132" s="26" t="inlineStr"/>
      <c r="N132" s="26" t="inlineStr"/>
    </row>
    <row r="133" ht="75" customHeight="1">
      <c r="A133" s="27" t="inlineStr">
        <is>
          <t>QA-EXP-07-02</t>
        </is>
      </c>
      <c r="B133" s="28" t="inlineStr">
        <is>
          <t>EXP-07</t>
        </is>
      </c>
      <c r="C133" s="28" t="inlineStr">
        <is>
          <t>Fonctionnel / métier</t>
        </is>
      </c>
      <c r="D133" s="28" t="inlineStr">
        <is>
          <t>Identité test adaptée au rôle « Exploitation &amp; backend », données tests réinitialisées.</t>
        </is>
      </c>
      <c r="E133" s="28" t="inlineStr">
        <is>
          <t>1. Ouvrir EXP-07. 2. Recevoir demande, assigner agent, répondre puis vérifier historique. 3. Contrôler persistance et état après actualisation. 4. Tester erreur/réseau si applicable.</t>
        </is>
      </c>
      <c r="F133" s="28" t="inlineStr">
        <is>
          <t>Une demande = un dossier traçable; statut non changé sans action réelle.</t>
        </is>
      </c>
      <c r="G133" s="28" t="inlineStr">
        <is>
          <t>P1</t>
        </is>
      </c>
      <c r="H133" s="30" t="inlineStr">
        <is>
          <t>À définir</t>
        </is>
      </c>
      <c r="I133" s="25" t="inlineStr">
        <is>
          <t>Non exécuté</t>
        </is>
      </c>
      <c r="J133" s="30" t="inlineStr"/>
      <c r="K133" s="30" t="inlineStr"/>
      <c r="L133" s="30" t="inlineStr"/>
      <c r="M133" s="30" t="inlineStr"/>
      <c r="N133" s="30" t="inlineStr"/>
    </row>
    <row r="134" ht="75" customHeight="1">
      <c r="A134" s="22" t="inlineStr">
        <is>
          <t>QA-DIR-01-01</t>
        </is>
      </c>
      <c r="B134" s="23" t="inlineStr">
        <is>
          <t>DIR-01</t>
        </is>
      </c>
      <c r="C134" s="23" t="inlineStr">
        <is>
          <t>UX / accessibilité</t>
        </is>
      </c>
      <c r="D134" s="23" t="inlineStr">
        <is>
          <t>Vue DIR-01 ouverte sur navigateur desktop et mobile; données de démonstration isolées.</t>
        </is>
      </c>
      <c r="E134" s="23" t="inlineStr">
        <is>
          <t>1. Ouvrir DIR-01. 2. Inspecter présentation, contraste, libellés, focus et responsive à 375px/1440px. 3. Tester clavier/zoom 200%. 4. Comparer composants : KPIs consolidés CA, réservations, fréquentation.</t>
        </is>
      </c>
      <c r="F134" s="23" t="inlineStr">
        <is>
          <t>Présentation conforme à la charte ; aucune action inaccessible au clavier ; pas de débordement ou occultation. Contrôler aussi : Afficher période, source, taux de mise à jour et séparation devis/encaissé.</t>
        </is>
      </c>
      <c r="G134" s="23" t="inlineStr">
        <is>
          <t>P1</t>
        </is>
      </c>
      <c r="H134" s="26" t="inlineStr">
        <is>
          <t>À définir</t>
        </is>
      </c>
      <c r="I134" s="25" t="inlineStr">
        <is>
          <t>Non exécuté</t>
        </is>
      </c>
      <c r="J134" s="26" t="inlineStr"/>
      <c r="K134" s="26" t="inlineStr"/>
      <c r="L134" s="26" t="inlineStr"/>
      <c r="M134" s="26" t="inlineStr"/>
      <c r="N134" s="26" t="inlineStr"/>
    </row>
    <row r="135" ht="75" customHeight="1">
      <c r="A135" s="27" t="inlineStr">
        <is>
          <t>QA-DIR-01-02</t>
        </is>
      </c>
      <c r="B135" s="28" t="inlineStr">
        <is>
          <t>DIR-01</t>
        </is>
      </c>
      <c r="C135" s="28" t="inlineStr">
        <is>
          <t>Fonctionnel / métier</t>
        </is>
      </c>
      <c r="D135" s="28" t="inlineStr">
        <is>
          <t>Identité test adaptée au rôle « Direction &amp; data », données tests réinitialisées.</t>
        </is>
      </c>
      <c r="E135" s="28" t="inlineStr">
        <is>
          <t>1. Ouvrir DIR-01. 2. Comparer KPI jour/mois avec transactions validées sur base. 3. Contrôler persistance et état après actualisation. 4. Tester erreur/réseau si applicable.</t>
        </is>
      </c>
      <c r="F135" s="28" t="inlineStr">
        <is>
          <t>Écart entre reporting et journal validé = 0 pour échantillon de recette.</t>
        </is>
      </c>
      <c r="G135" s="28" t="inlineStr">
        <is>
          <t>P1</t>
        </is>
      </c>
      <c r="H135" s="30" t="inlineStr">
        <is>
          <t>À définir</t>
        </is>
      </c>
      <c r="I135" s="25" t="inlineStr">
        <is>
          <t>Non exécuté</t>
        </is>
      </c>
      <c r="J135" s="30" t="inlineStr"/>
      <c r="K135" s="30" t="inlineStr"/>
      <c r="L135" s="30" t="inlineStr"/>
      <c r="M135" s="30" t="inlineStr"/>
      <c r="N135" s="30" t="inlineStr"/>
    </row>
    <row r="136" ht="75" customHeight="1">
      <c r="A136" s="22" t="inlineStr">
        <is>
          <t>QA-DIR-02-01</t>
        </is>
      </c>
      <c r="B136" s="23" t="inlineStr">
        <is>
          <t>DIR-02</t>
        </is>
      </c>
      <c r="C136" s="23" t="inlineStr">
        <is>
          <t>UX / accessibilité</t>
        </is>
      </c>
      <c r="D136" s="23" t="inlineStr">
        <is>
          <t>Vue DIR-02 ouverte sur navigateur desktop et mobile; données de démonstration isolées.</t>
        </is>
      </c>
      <c r="E136" s="23" t="inlineStr">
        <is>
          <t>1. Ouvrir DIR-02. 2. Inspecter présentation, contraste, libellés, focus et responsive à 375px/1440px. 3. Tester clavier/zoom 200%. 4. Comparer composants : Ventes par canal, revenus, remboursements.</t>
        </is>
      </c>
      <c r="F136" s="23" t="inlineStr">
        <is>
          <t>Présentation conforme à la charte ; aucune action inaccessible au clavier ; pas de débordement ou occultation. Contrôler aussi : Comptabiliser transactions réelles et remboursements PSP confirmés.</t>
        </is>
      </c>
      <c r="G136" s="23" t="inlineStr">
        <is>
          <t>P0</t>
        </is>
      </c>
      <c r="H136" s="26" t="inlineStr">
        <is>
          <t>À définir</t>
        </is>
      </c>
      <c r="I136" s="25" t="inlineStr">
        <is>
          <t>Non exécuté</t>
        </is>
      </c>
      <c r="J136" s="26" t="inlineStr"/>
      <c r="K136" s="26" t="inlineStr"/>
      <c r="L136" s="26" t="inlineStr"/>
      <c r="M136" s="26" t="inlineStr"/>
      <c r="N136" s="26" t="inlineStr"/>
    </row>
    <row r="137" ht="75" customHeight="1">
      <c r="A137" s="27" t="inlineStr">
        <is>
          <t>QA-DIR-02-02</t>
        </is>
      </c>
      <c r="B137" s="28" t="inlineStr">
        <is>
          <t>DIR-02</t>
        </is>
      </c>
      <c r="C137" s="28" t="inlineStr">
        <is>
          <t>Fonctionnel / métier</t>
        </is>
      </c>
      <c r="D137" s="28" t="inlineStr">
        <is>
          <t>Identité test adaptée au rôle « Direction &amp; data », données tests réinitialisées.</t>
        </is>
      </c>
      <c r="E137" s="28" t="inlineStr">
        <is>
          <t>1. Ouvrir DIR-02. 2. Passer paiement, paiement annulé, remboursement et comparer exports. 3. Contrôler persistance et état après actualisation. 4. Tester erreur/réseau si applicable.</t>
        </is>
      </c>
      <c r="F137" s="28" t="inlineStr">
        <is>
          <t>Revenu net = encaissements confirmés moins remboursements confirmés.</t>
        </is>
      </c>
      <c r="G137" s="28" t="inlineStr">
        <is>
          <t>P0</t>
        </is>
      </c>
      <c r="H137" s="30" t="inlineStr">
        <is>
          <t>À définir</t>
        </is>
      </c>
      <c r="I137" s="25" t="inlineStr">
        <is>
          <t>Non exécuté</t>
        </is>
      </c>
      <c r="J137" s="30" t="inlineStr"/>
      <c r="K137" s="30" t="inlineStr"/>
      <c r="L137" s="30" t="inlineStr"/>
      <c r="M137" s="30" t="inlineStr"/>
      <c r="N137" s="30" t="inlineStr"/>
    </row>
    <row r="138" ht="75" customHeight="1">
      <c r="A138" s="22" t="inlineStr">
        <is>
          <t>QA-DIR-03-01</t>
        </is>
      </c>
      <c r="B138" s="23" t="inlineStr">
        <is>
          <t>DIR-03</t>
        </is>
      </c>
      <c r="C138" s="23" t="inlineStr">
        <is>
          <t>UX / accessibilité</t>
        </is>
      </c>
      <c r="D138" s="23" t="inlineStr">
        <is>
          <t>Vue DIR-03 ouverte sur navigateur desktop et mobile; données de démonstration isolées.</t>
        </is>
      </c>
      <c r="E138" s="23" t="inlineStr">
        <is>
          <t>1. Ouvrir DIR-03. 2. Inspecter présentation, contraste, libellés, focus et responsive à 375px/1440px. 3. Tester clavier/zoom 200%. 4. Comparer composants : Fréquentation par période, activité et segment.</t>
        </is>
      </c>
      <c r="F138" s="23" t="inlineStr">
        <is>
          <t>Présentation conforme à la charte ; aucune action inaccessible au clavier ; pas de débordement ou occultation. Contrôler aussi : Distinguer billets vendus, présences scannées et retours visiteurs.</t>
        </is>
      </c>
      <c r="G138" s="23" t="inlineStr">
        <is>
          <t>P1</t>
        </is>
      </c>
      <c r="H138" s="26" t="inlineStr">
        <is>
          <t>À définir</t>
        </is>
      </c>
      <c r="I138" s="25" t="inlineStr">
        <is>
          <t>Non exécuté</t>
        </is>
      </c>
      <c r="J138" s="26" t="inlineStr"/>
      <c r="K138" s="26" t="inlineStr"/>
      <c r="L138" s="26" t="inlineStr"/>
      <c r="M138" s="26" t="inlineStr"/>
      <c r="N138" s="26" t="inlineStr"/>
    </row>
    <row r="139" ht="75" customHeight="1">
      <c r="A139" s="27" t="inlineStr">
        <is>
          <t>QA-DIR-03-02</t>
        </is>
      </c>
      <c r="B139" s="28" t="inlineStr">
        <is>
          <t>DIR-03</t>
        </is>
      </c>
      <c r="C139" s="28" t="inlineStr">
        <is>
          <t>Fonctionnel / métier</t>
        </is>
      </c>
      <c r="D139" s="28" t="inlineStr">
        <is>
          <t>Identité test adaptée au rôle « Direction &amp; data », données tests réinitialisées.</t>
        </is>
      </c>
      <c r="E139" s="28" t="inlineStr">
        <is>
          <t>1. Ouvrir DIR-03. 2. Comparer 5 billets vendus, 3 scans et 1 annulation. 3. Contrôler persistance et état après actualisation. 4. Tester erreur/réseau si applicable.</t>
        </is>
      </c>
      <c r="F139" s="28" t="inlineStr">
        <is>
          <t>Présences = 3 et ventes nettes correctement calculées; définition KPI écrite.</t>
        </is>
      </c>
      <c r="G139" s="28" t="inlineStr">
        <is>
          <t>P1</t>
        </is>
      </c>
      <c r="H139" s="30" t="inlineStr">
        <is>
          <t>À définir</t>
        </is>
      </c>
      <c r="I139" s="25" t="inlineStr">
        <is>
          <t>Non exécuté</t>
        </is>
      </c>
      <c r="J139" s="30" t="inlineStr"/>
      <c r="K139" s="30" t="inlineStr"/>
      <c r="L139" s="30" t="inlineStr"/>
      <c r="M139" s="30" t="inlineStr"/>
      <c r="N139" s="30" t="inlineStr"/>
    </row>
    <row r="140" ht="75" customHeight="1">
      <c r="A140" s="22" t="inlineStr">
        <is>
          <t>QA-DIR-04-01</t>
        </is>
      </c>
      <c r="B140" s="23" t="inlineStr">
        <is>
          <t>DIR-04</t>
        </is>
      </c>
      <c r="C140" s="23" t="inlineStr">
        <is>
          <t>UX / accessibilité</t>
        </is>
      </c>
      <c r="D140" s="23" t="inlineStr">
        <is>
          <t>Vue DIR-04 ouverte sur navigateur desktop et mobile; données de démonstration isolées.</t>
        </is>
      </c>
      <c r="E140" s="23" t="inlineStr">
        <is>
          <t>1. Ouvrir DIR-04. 2. Inspecter présentation, contraste, libellés, focus et responsive à 375px/1440px. 3. Tester clavier/zoom 200%. 4. Comparer composants : Occupation hôtels, groupes, taux et tendances.</t>
        </is>
      </c>
      <c r="F140" s="23" t="inlineStr">
        <is>
          <t>Présentation conforme à la charte ; aucune action inaccessible au clavier ; pas de débordement ou occultation. Contrôler aussi : Calculer le taux sur chambres réellement ouvertes et nuitées.</t>
        </is>
      </c>
      <c r="G140" s="23" t="inlineStr">
        <is>
          <t>P1</t>
        </is>
      </c>
      <c r="H140" s="26" t="inlineStr">
        <is>
          <t>À définir</t>
        </is>
      </c>
      <c r="I140" s="25" t="inlineStr">
        <is>
          <t>Non exécuté</t>
        </is>
      </c>
      <c r="J140" s="26" t="inlineStr"/>
      <c r="K140" s="26" t="inlineStr"/>
      <c r="L140" s="26" t="inlineStr"/>
      <c r="M140" s="26" t="inlineStr"/>
      <c r="N140" s="26" t="inlineStr"/>
    </row>
    <row r="141" ht="75" customHeight="1">
      <c r="A141" s="27" t="inlineStr">
        <is>
          <t>QA-DIR-04-02</t>
        </is>
      </c>
      <c r="B141" s="28" t="inlineStr">
        <is>
          <t>DIR-04</t>
        </is>
      </c>
      <c r="C141" s="28" t="inlineStr">
        <is>
          <t>Fonctionnel / métier</t>
        </is>
      </c>
      <c r="D141" s="28" t="inlineStr">
        <is>
          <t>Identité test adaptée au rôle « Direction &amp; data », données tests réinitialisées.</t>
        </is>
      </c>
      <c r="E141" s="28" t="inlineStr">
        <is>
          <t>1. Ouvrir DIR-04. 2. Réserver 2 nuits, fermer chambre 1 nuit, contrôler taux. 3. Contrôler persistance et état après actualisation. 4. Tester erreur/réseau si applicable.</t>
        </is>
      </c>
      <c r="F141" s="28" t="inlineStr">
        <is>
          <t>Dénominateur explicite; aucune occupation supérieure à 100 %.</t>
        </is>
      </c>
      <c r="G141" s="28" t="inlineStr">
        <is>
          <t>P1</t>
        </is>
      </c>
      <c r="H141" s="30" t="inlineStr">
        <is>
          <t>À définir</t>
        </is>
      </c>
      <c r="I141" s="25" t="inlineStr">
        <is>
          <t>Non exécuté</t>
        </is>
      </c>
      <c r="J141" s="30" t="inlineStr"/>
      <c r="K141" s="30" t="inlineStr"/>
      <c r="L141" s="30" t="inlineStr"/>
      <c r="M141" s="30" t="inlineStr"/>
      <c r="N141" s="30" t="inlineStr"/>
    </row>
    <row r="142" ht="75" customHeight="1">
      <c r="A142" s="22" t="inlineStr">
        <is>
          <t>QA-DIR-05-01</t>
        </is>
      </c>
      <c r="B142" s="23" t="inlineStr">
        <is>
          <t>DIR-05</t>
        </is>
      </c>
      <c r="C142" s="23" t="inlineStr">
        <is>
          <t>UX / accessibilité</t>
        </is>
      </c>
      <c r="D142" s="23" t="inlineStr">
        <is>
          <t>Vue DIR-05 ouverte sur navigateur desktop et mobile; données de démonstration isolées.</t>
        </is>
      </c>
      <c r="E142" s="23" t="inlineStr">
        <is>
          <t>1. Ouvrir DIR-05. 2. Inspecter présentation, contraste, libellés, focus et responsive à 375px/1440px. 3. Tester clavier/zoom 200%. 4. Comparer composants : Rapports filtrables, export CSV/PDF.</t>
        </is>
      </c>
      <c r="F142" s="23" t="inlineStr">
        <is>
          <t>Présentation conforme à la charte ; aucune action inaccessible au clavier ; pas de débordement ou occultation. Contrôler aussi : Exporter période/filtre actifs avec traçabilité et masquage PIIs.</t>
        </is>
      </c>
      <c r="G142" s="23" t="inlineStr">
        <is>
          <t>P1</t>
        </is>
      </c>
      <c r="H142" s="26" t="inlineStr">
        <is>
          <t>À définir</t>
        </is>
      </c>
      <c r="I142" s="25" t="inlineStr">
        <is>
          <t>Non exécuté</t>
        </is>
      </c>
      <c r="J142" s="26" t="inlineStr"/>
      <c r="K142" s="26" t="inlineStr"/>
      <c r="L142" s="26" t="inlineStr"/>
      <c r="M142" s="26" t="inlineStr"/>
      <c r="N142" s="26" t="inlineStr"/>
    </row>
    <row r="143" ht="75" customHeight="1">
      <c r="A143" s="27" t="inlineStr">
        <is>
          <t>QA-DIR-05-02</t>
        </is>
      </c>
      <c r="B143" s="28" t="inlineStr">
        <is>
          <t>DIR-05</t>
        </is>
      </c>
      <c r="C143" s="28" t="inlineStr">
        <is>
          <t>Fonctionnel / métier</t>
        </is>
      </c>
      <c r="D143" s="28" t="inlineStr">
        <is>
          <t>Identité test adaptée au rôle « Direction &amp; data », données tests réinitialisées.</t>
        </is>
      </c>
      <c r="E143" s="28" t="inlineStr">
        <is>
          <t>1. Ouvrir DIR-05. 2. Exporter plage 1–15 et comparer totaux affichés/export. 3. Contrôler persistance et état après actualisation. 4. Tester erreur/réseau si applicable.</t>
        </is>
      </c>
      <c r="F143" s="28" t="inlineStr">
        <is>
          <t>Totaux identiques; exports protégés et datés; aucune donnée tierce inutile.</t>
        </is>
      </c>
      <c r="G143" s="28" t="inlineStr">
        <is>
          <t>P1</t>
        </is>
      </c>
      <c r="H143" s="30" t="inlineStr">
        <is>
          <t>À définir</t>
        </is>
      </c>
      <c r="I143" s="25" t="inlineStr">
        <is>
          <t>Non exécuté</t>
        </is>
      </c>
      <c r="J143" s="30" t="inlineStr"/>
      <c r="K143" s="30" t="inlineStr"/>
      <c r="L143" s="30" t="inlineStr"/>
      <c r="M143" s="30" t="inlineStr"/>
      <c r="N143" s="30" t="inlineStr"/>
    </row>
    <row r="144" ht="75" customHeight="1">
      <c r="A144" s="22" t="inlineStr">
        <is>
          <t>QA-ADM-01-01</t>
        </is>
      </c>
      <c r="B144" s="23" t="inlineStr">
        <is>
          <t>ADM-01</t>
        </is>
      </c>
      <c r="C144" s="23" t="inlineStr">
        <is>
          <t>UX / accessibilité</t>
        </is>
      </c>
      <c r="D144" s="23" t="inlineStr">
        <is>
          <t>Vue ADM-01 ouverte sur navigateur desktop et mobile; données de démonstration isolées.</t>
        </is>
      </c>
      <c r="E144" s="23" t="inlineStr">
        <is>
          <t>1. Ouvrir ADM-01. 2. Inspecter présentation, contraste, libellés, focus et responsive à 375px/1440px. 3. Tester clavier/zoom 200%. 4. Comparer composants : CRUD offres, média, publication, duplication, archive.</t>
        </is>
      </c>
      <c r="F144" s="23" t="inlineStr">
        <is>
          <t>Présentation conforme à la charte ; aucune action inaccessible au clavier ; pas de débordement ou occultation. Contrôler aussi : Valider champs et historiser publication; prévisualisation avant diffusion.</t>
        </is>
      </c>
      <c r="G144" s="23" t="inlineStr">
        <is>
          <t>P1</t>
        </is>
      </c>
      <c r="H144" s="26" t="inlineStr">
        <is>
          <t>À définir</t>
        </is>
      </c>
      <c r="I144" s="25" t="inlineStr">
        <is>
          <t>Non exécuté</t>
        </is>
      </c>
      <c r="J144" s="26" t="inlineStr"/>
      <c r="K144" s="26" t="inlineStr"/>
      <c r="L144" s="26" t="inlineStr"/>
      <c r="M144" s="26" t="inlineStr"/>
      <c r="N144" s="26" t="inlineStr"/>
    </row>
    <row r="145" ht="75" customHeight="1">
      <c r="A145" s="27" t="inlineStr">
        <is>
          <t>QA-ADM-01-02</t>
        </is>
      </c>
      <c r="B145" s="28" t="inlineStr">
        <is>
          <t>ADM-01</t>
        </is>
      </c>
      <c r="C145" s="28" t="inlineStr">
        <is>
          <t>Fonctionnel / métier</t>
        </is>
      </c>
      <c r="D145" s="28" t="inlineStr">
        <is>
          <t>Identité test adaptée au rôle « Administration &amp; sécurité », données tests réinitialisées.</t>
        </is>
      </c>
      <c r="E145" s="28" t="inlineStr">
        <is>
          <t>1. Ouvrir ADM-01. 2. Créer offre, dupliquer SKU, archiver puis tester côté visiteur. 3. Contrôler persistance et état après actualisation. 4. Tester erreur/réseau si applicable.</t>
        </is>
      </c>
      <c r="F145" s="28" t="inlineStr">
        <is>
          <t>SKU unique; offre inactive masquée; retour arrière/trace disponible.</t>
        </is>
      </c>
      <c r="G145" s="28" t="inlineStr">
        <is>
          <t>P1</t>
        </is>
      </c>
      <c r="H145" s="30" t="inlineStr">
        <is>
          <t>À définir</t>
        </is>
      </c>
      <c r="I145" s="25" t="inlineStr">
        <is>
          <t>Non exécuté</t>
        </is>
      </c>
      <c r="J145" s="30" t="inlineStr"/>
      <c r="K145" s="30" t="inlineStr"/>
      <c r="L145" s="30" t="inlineStr"/>
      <c r="M145" s="30" t="inlineStr"/>
      <c r="N145" s="30" t="inlineStr"/>
    </row>
    <row r="146" ht="75" customHeight="1">
      <c r="A146" s="22" t="inlineStr">
        <is>
          <t>QA-ADM-02-01</t>
        </is>
      </c>
      <c r="B146" s="23" t="inlineStr">
        <is>
          <t>ADM-02</t>
        </is>
      </c>
      <c r="C146" s="23" t="inlineStr">
        <is>
          <t>UX / accessibilité</t>
        </is>
      </c>
      <c r="D146" s="23" t="inlineStr">
        <is>
          <t>Vue ADM-02 ouverte sur navigateur desktop et mobile; données de démonstration isolées.</t>
        </is>
      </c>
      <c r="E146" s="23" t="inlineStr">
        <is>
          <t>1. Ouvrir ADM-02. 2. Inspecter présentation, contraste, libellés, focus et responsive à 375px/1440px. 3. Tester clavier/zoom 200%. 4. Comparer composants : Tarifs, âge, saison, promotions, dates d’effet.</t>
        </is>
      </c>
      <c r="F146" s="23" t="inlineStr">
        <is>
          <t>Présentation conforme à la charte ; aucune action inaccessible au clavier ; pas de débordement ou occultation. Contrôler aussi : Versionner prix avec date d’effet et validation responsable.</t>
        </is>
      </c>
      <c r="G146" s="23" t="inlineStr">
        <is>
          <t>P0</t>
        </is>
      </c>
      <c r="H146" s="26" t="inlineStr">
        <is>
          <t>À définir</t>
        </is>
      </c>
      <c r="I146" s="25" t="inlineStr">
        <is>
          <t>Non exécuté</t>
        </is>
      </c>
      <c r="J146" s="26" t="inlineStr"/>
      <c r="K146" s="26" t="inlineStr"/>
      <c r="L146" s="26" t="inlineStr"/>
      <c r="M146" s="26" t="inlineStr"/>
      <c r="N146" s="26" t="inlineStr"/>
    </row>
    <row r="147" ht="75" customHeight="1">
      <c r="A147" s="27" t="inlineStr">
        <is>
          <t>QA-ADM-02-02</t>
        </is>
      </c>
      <c r="B147" s="28" t="inlineStr">
        <is>
          <t>ADM-02</t>
        </is>
      </c>
      <c r="C147" s="28" t="inlineStr">
        <is>
          <t>Fonctionnel / métier</t>
        </is>
      </c>
      <c r="D147" s="28" t="inlineStr">
        <is>
          <t>Identité test adaptée au rôle « Administration &amp; sécurité », données tests réinitialisées.</t>
        </is>
      </c>
      <c r="E147" s="28" t="inlineStr">
        <is>
          <t>1. Ouvrir ADM-02. 2. Modifier tarif Zoo, valider synchronisation PUB/RES/AGT, annuler. 3. Contrôler persistance et état après actualisation. 4. Tester erreur/réseau si applicable.</t>
        </is>
      </c>
      <c r="F147" s="28" t="inlineStr">
        <is>
          <t>Même montant dans toutes vues; anciennes commandes inchangées.</t>
        </is>
      </c>
      <c r="G147" s="28" t="inlineStr">
        <is>
          <t>P0</t>
        </is>
      </c>
      <c r="H147" s="30" t="inlineStr">
        <is>
          <t>À définir</t>
        </is>
      </c>
      <c r="I147" s="25" t="inlineStr">
        <is>
          <t>Non exécuté</t>
        </is>
      </c>
      <c r="J147" s="30" t="inlineStr"/>
      <c r="K147" s="30" t="inlineStr"/>
      <c r="L147" s="30" t="inlineStr"/>
      <c r="M147" s="30" t="inlineStr"/>
      <c r="N147" s="30" t="inlineStr"/>
    </row>
    <row r="148" ht="75" customHeight="1">
      <c r="A148" s="22" t="inlineStr">
        <is>
          <t>QA-ADM-03-01</t>
        </is>
      </c>
      <c r="B148" s="23" t="inlineStr">
        <is>
          <t>ADM-03</t>
        </is>
      </c>
      <c r="C148" s="23" t="inlineStr">
        <is>
          <t>UX / accessibilité</t>
        </is>
      </c>
      <c r="D148" s="23" t="inlineStr">
        <is>
          <t>Vue ADM-03 ouverte sur navigateur desktop et mobile; données de démonstration isolées.</t>
        </is>
      </c>
      <c r="E148" s="23" t="inlineStr">
        <is>
          <t>1. Ouvrir ADM-03. 2. Inspecter présentation, contraste, libellés, focus et responsive à 375px/1440px. 3. Tester clavier/zoom 200%. 4. Comparer composants : Jauges, fermetures, horaires, bandeau météo.</t>
        </is>
      </c>
      <c r="F148" s="23" t="inlineStr">
        <is>
          <t>Présentation conforme à la charte ; aucune action inaccessible au clavier ; pas de débordement ou occultation. Contrôler aussi : Seul staff habilité modifie quotas; traces et garde-fou stock négatif.</t>
        </is>
      </c>
      <c r="G148" s="23" t="inlineStr">
        <is>
          <t>P0</t>
        </is>
      </c>
      <c r="H148" s="26" t="inlineStr">
        <is>
          <t>À définir</t>
        </is>
      </c>
      <c r="I148" s="25" t="inlineStr">
        <is>
          <t>Non exécuté</t>
        </is>
      </c>
      <c r="J148" s="26" t="inlineStr"/>
      <c r="K148" s="26" t="inlineStr"/>
      <c r="L148" s="26" t="inlineStr"/>
      <c r="M148" s="26" t="inlineStr"/>
      <c r="N148" s="26" t="inlineStr"/>
    </row>
    <row r="149" ht="75" customHeight="1">
      <c r="A149" s="27" t="inlineStr">
        <is>
          <t>QA-ADM-03-02</t>
        </is>
      </c>
      <c r="B149" s="28" t="inlineStr">
        <is>
          <t>ADM-03</t>
        </is>
      </c>
      <c r="C149" s="28" t="inlineStr">
        <is>
          <t>Fonctionnel / métier</t>
        </is>
      </c>
      <c r="D149" s="28" t="inlineStr">
        <is>
          <t>Identité test adaptée au rôle « Administration &amp; sécurité », données tests réinitialisées.</t>
        </is>
      </c>
      <c r="E149" s="28" t="inlineStr">
        <is>
          <t>1. Ouvrir ADM-03. 2. Fermer piscine date donnée, réserver/consulter, rouvrir. 3. Contrôler persistance et état après actualisation. 4. Tester erreur/réseau si applicable.</t>
        </is>
      </c>
      <c r="F149" s="28" t="inlineStr">
        <is>
          <t>Aucune réservation créée pendant fermeture; changement audité.</t>
        </is>
      </c>
      <c r="G149" s="28" t="inlineStr">
        <is>
          <t>P0</t>
        </is>
      </c>
      <c r="H149" s="30" t="inlineStr">
        <is>
          <t>À définir</t>
        </is>
      </c>
      <c r="I149" s="25" t="inlineStr">
        <is>
          <t>Non exécuté</t>
        </is>
      </c>
      <c r="J149" s="30" t="inlineStr"/>
      <c r="K149" s="30" t="inlineStr"/>
      <c r="L149" s="30" t="inlineStr"/>
      <c r="M149" s="30" t="inlineStr"/>
      <c r="N149" s="30" t="inlineStr"/>
    </row>
    <row r="150" ht="75" customHeight="1">
      <c r="A150" s="22" t="inlineStr">
        <is>
          <t>QA-ADM-04-01</t>
        </is>
      </c>
      <c r="B150" s="23" t="inlineStr">
        <is>
          <t>ADM-04</t>
        </is>
      </c>
      <c r="C150" s="23" t="inlineStr">
        <is>
          <t>UX / accessibilité</t>
        </is>
      </c>
      <c r="D150" s="23" t="inlineStr">
        <is>
          <t>Vue ADM-04 ouverte sur navigateur desktop et mobile; données de démonstration isolées.</t>
        </is>
      </c>
      <c r="E150" s="23" t="inlineStr">
        <is>
          <t>1. Ouvrir ADM-04. 2. Inspecter présentation, contraste, libellés, focus et responsive à 375px/1440px. 3. Tester clavier/zoom 200%. 4. Comparer composants : CMS actualités, menus, galerie, FAQ, publication.</t>
        </is>
      </c>
      <c r="F150" s="23" t="inlineStr">
        <is>
          <t>Présentation conforme à la charte ; aucune action inaccessible au clavier ; pas de débordement ou occultation. Contrôler aussi : Valider photo/alt, champs prix nullable et prépublication.</t>
        </is>
      </c>
      <c r="G150" s="23" t="inlineStr">
        <is>
          <t>P1</t>
        </is>
      </c>
      <c r="H150" s="26" t="inlineStr">
        <is>
          <t>À définir</t>
        </is>
      </c>
      <c r="I150" s="25" t="inlineStr">
        <is>
          <t>Non exécuté</t>
        </is>
      </c>
      <c r="J150" s="26" t="inlineStr"/>
      <c r="K150" s="26" t="inlineStr"/>
      <c r="L150" s="26" t="inlineStr"/>
      <c r="M150" s="26" t="inlineStr"/>
      <c r="N150" s="26" t="inlineStr"/>
    </row>
    <row r="151" ht="75" customHeight="1">
      <c r="A151" s="27" t="inlineStr">
        <is>
          <t>QA-ADM-04-02</t>
        </is>
      </c>
      <c r="B151" s="28" t="inlineStr">
        <is>
          <t>ADM-04</t>
        </is>
      </c>
      <c r="C151" s="28" t="inlineStr">
        <is>
          <t>Fonctionnel / métier</t>
        </is>
      </c>
      <c r="D151" s="28" t="inlineStr">
        <is>
          <t>Identité test adaptée au rôle « Administration &amp; sécurité », données tests réinitialisées.</t>
        </is>
      </c>
      <c r="E151" s="28" t="inlineStr">
        <is>
          <t>1. Ouvrir ADM-04. 2. Publier événement futur, corriger puis retirer; vérifier cache public. 3. Contrôler persistance et état après actualisation. 4. Tester erreur/réseau si applicable.</t>
        </is>
      </c>
      <c r="F151" s="28" t="inlineStr">
        <is>
          <t>Contenu affiché fidèle; versions conservées; aucun média cassé.</t>
        </is>
      </c>
      <c r="G151" s="28" t="inlineStr">
        <is>
          <t>P1</t>
        </is>
      </c>
      <c r="H151" s="30" t="inlineStr">
        <is>
          <t>À définir</t>
        </is>
      </c>
      <c r="I151" s="25" t="inlineStr">
        <is>
          <t>Non exécuté</t>
        </is>
      </c>
      <c r="J151" s="30" t="inlineStr"/>
      <c r="K151" s="30" t="inlineStr"/>
      <c r="L151" s="30" t="inlineStr"/>
      <c r="M151" s="30" t="inlineStr"/>
      <c r="N151" s="30" t="inlineStr"/>
    </row>
    <row r="152" ht="75" customHeight="1">
      <c r="A152" s="22" t="inlineStr">
        <is>
          <t>QA-ADM-05-01</t>
        </is>
      </c>
      <c r="B152" s="23" t="inlineStr">
        <is>
          <t>ADM-05</t>
        </is>
      </c>
      <c r="C152" s="23" t="inlineStr">
        <is>
          <t>UX / accessibilité</t>
        </is>
      </c>
      <c r="D152" s="23" t="inlineStr">
        <is>
          <t>Vue ADM-05 ouverte sur navigateur desktop et mobile; données de démonstration isolées.</t>
        </is>
      </c>
      <c r="E152" s="23" t="inlineStr">
        <is>
          <t>1. Ouvrir ADM-05. 2. Inspecter présentation, contraste, libellés, focus et responsive à 375px/1440px. 3. Tester clavier/zoom 200%. 4. Comparer composants : Comptes internes, sept rôles, permissions, déconnexion.</t>
        </is>
      </c>
      <c r="F152" s="23" t="inlineStr">
        <is>
          <t>Présentation conforme à la charte ; aucune action inaccessible au clavier ; pas de débordement ou occultation. Contrôler aussi : Appliquer RBAC côté base/API avec moindre privilège et MFA interne.</t>
        </is>
      </c>
      <c r="G152" s="23" t="inlineStr">
        <is>
          <t>P0</t>
        </is>
      </c>
      <c r="H152" s="26" t="inlineStr">
        <is>
          <t>À définir</t>
        </is>
      </c>
      <c r="I152" s="25" t="inlineStr">
        <is>
          <t>Non exécuté</t>
        </is>
      </c>
      <c r="J152" s="26" t="inlineStr"/>
      <c r="K152" s="26" t="inlineStr"/>
      <c r="L152" s="26" t="inlineStr"/>
      <c r="M152" s="26" t="inlineStr"/>
      <c r="N152" s="26" t="inlineStr"/>
    </row>
    <row r="153" ht="75" customHeight="1">
      <c r="A153" s="27" t="inlineStr">
        <is>
          <t>QA-ADM-05-02</t>
        </is>
      </c>
      <c r="B153" s="28" t="inlineStr">
        <is>
          <t>ADM-05</t>
        </is>
      </c>
      <c r="C153" s="28" t="inlineStr">
        <is>
          <t>Fonctionnel / métier</t>
        </is>
      </c>
      <c r="D153" s="28" t="inlineStr">
        <is>
          <t>Identité test adaptée au rôle « Administration &amp; sécurité », données tests réinitialisées.</t>
        </is>
      </c>
      <c r="E153" s="28" t="inlineStr">
        <is>
          <t>1. Ouvrir ADM-05. 2. Créer contrôleur, tenter supprimer offre, élever rôle via client. 3. Contrôler persistance et état après actualisation. 4. Tester erreur/réseau si applicable.</t>
        </is>
      </c>
      <c r="F153" s="28" t="inlineStr">
        <is>
          <t>Toutes opérations interdites refusées côté serveur; journalisées.</t>
        </is>
      </c>
      <c r="G153" s="28" t="inlineStr">
        <is>
          <t>P0</t>
        </is>
      </c>
      <c r="H153" s="30" t="inlineStr">
        <is>
          <t>À définir</t>
        </is>
      </c>
      <c r="I153" s="25" t="inlineStr">
        <is>
          <t>Non exécuté</t>
        </is>
      </c>
      <c r="J153" s="30" t="inlineStr"/>
      <c r="K153" s="30" t="inlineStr"/>
      <c r="L153" s="30" t="inlineStr"/>
      <c r="M153" s="30" t="inlineStr"/>
      <c r="N153" s="30" t="inlineStr"/>
    </row>
    <row r="154" ht="75" customHeight="1">
      <c r="A154" s="22" t="inlineStr">
        <is>
          <t>QA-ADM-06-01</t>
        </is>
      </c>
      <c r="B154" s="23" t="inlineStr">
        <is>
          <t>ADM-06</t>
        </is>
      </c>
      <c r="C154" s="23" t="inlineStr">
        <is>
          <t>UX / accessibilité</t>
        </is>
      </c>
      <c r="D154" s="23" t="inlineStr">
        <is>
          <t>Vue ADM-06 ouverte sur navigateur desktop et mobile; données de démonstration isolées.</t>
        </is>
      </c>
      <c r="E154" s="23" t="inlineStr">
        <is>
          <t>1. Ouvrir ADM-06. 2. Inspecter présentation, contraste, libellés, focus et responsive à 375px/1440px. 3. Tester clavier/zoom 200%. 4. Comparer composants : Coordonnées, horaires, CGV, configurations.</t>
        </is>
      </c>
      <c r="F154" s="23" t="inlineStr">
        <is>
          <t>Présentation conforme à la charte ; aucune action inaccessible au clavier ; pas de débordement ou occultation. Contrôler aussi : Distinguer brouillon/publié, imposer validation des coordonnées légales.</t>
        </is>
      </c>
      <c r="G154" s="23" t="inlineStr">
        <is>
          <t>P1</t>
        </is>
      </c>
      <c r="H154" s="26" t="inlineStr">
        <is>
          <t>À définir</t>
        </is>
      </c>
      <c r="I154" s="25" t="inlineStr">
        <is>
          <t>Non exécuté</t>
        </is>
      </c>
      <c r="J154" s="26" t="inlineStr"/>
      <c r="K154" s="26" t="inlineStr"/>
      <c r="L154" s="26" t="inlineStr"/>
      <c r="M154" s="26" t="inlineStr"/>
      <c r="N154" s="26" t="inlineStr"/>
    </row>
    <row r="155" ht="75" customHeight="1">
      <c r="A155" s="27" t="inlineStr">
        <is>
          <t>QA-ADM-06-02</t>
        </is>
      </c>
      <c r="B155" s="28" t="inlineStr">
        <is>
          <t>ADM-06</t>
        </is>
      </c>
      <c r="C155" s="28" t="inlineStr">
        <is>
          <t>Fonctionnel / métier</t>
        </is>
      </c>
      <c r="D155" s="28" t="inlineStr">
        <is>
          <t>Identité test adaptée au rôle « Administration &amp; sécurité », données tests réinitialisées.</t>
        </is>
      </c>
      <c r="E155" s="28" t="inlineStr">
        <is>
          <t>1. Ouvrir ADM-06. 2. Changer horaire fermeture et vérifier toutes pages + structured data. 3. Contrôler persistance et état après actualisation. 4. Tester erreur/réseau si applicable.</t>
        </is>
      </c>
      <c r="F155" s="28" t="inlineStr">
        <is>
          <t>Coordonnées et horaires cohérents dans UI, SEO, email et billets.</t>
        </is>
      </c>
      <c r="G155" s="28" t="inlineStr">
        <is>
          <t>P1</t>
        </is>
      </c>
      <c r="H155" s="30" t="inlineStr">
        <is>
          <t>À définir</t>
        </is>
      </c>
      <c r="I155" s="25" t="inlineStr">
        <is>
          <t>Non exécuté</t>
        </is>
      </c>
      <c r="J155" s="30" t="inlineStr"/>
      <c r="K155" s="30" t="inlineStr"/>
      <c r="L155" s="30" t="inlineStr"/>
      <c r="M155" s="30" t="inlineStr"/>
      <c r="N155" s="30" t="inlineStr"/>
    </row>
    <row r="156" ht="75" customHeight="1">
      <c r="A156" s="22" t="inlineStr">
        <is>
          <t>QA-ADM-07-01</t>
        </is>
      </c>
      <c r="B156" s="23" t="inlineStr">
        <is>
          <t>ADM-07</t>
        </is>
      </c>
      <c r="C156" s="23" t="inlineStr">
        <is>
          <t>UX / accessibilité</t>
        </is>
      </c>
      <c r="D156" s="23" t="inlineStr">
        <is>
          <t>Vue ADM-07 ouverte sur navigateur desktop et mobile; données de démonstration isolées.</t>
        </is>
      </c>
      <c r="E156" s="23" t="inlineStr">
        <is>
          <t>1. Ouvrir ADM-07. 2. Inspecter présentation, contraste, libellés, focus et responsive à 375px/1440px. 3. Tester clavier/zoom 200%. 4. Comparer composants : Paramètres PSP, messagerie, analytics, secrets.</t>
        </is>
      </c>
      <c r="F156" s="23" t="inlineStr">
        <is>
          <t>Présentation conforme à la charte ; aucune action inaccessible au clavier ; pas de débordement ou occultation. Contrôler aussi : Conserver clés secrètes exclusivement serveur; contrôler webhooks et logs.</t>
        </is>
      </c>
      <c r="G156" s="23" t="inlineStr">
        <is>
          <t>P0</t>
        </is>
      </c>
      <c r="H156" s="26" t="inlineStr">
        <is>
          <t>À définir</t>
        </is>
      </c>
      <c r="I156" s="25" t="inlineStr">
        <is>
          <t>Non exécuté</t>
        </is>
      </c>
      <c r="J156" s="26" t="inlineStr"/>
      <c r="K156" s="26" t="inlineStr"/>
      <c r="L156" s="26" t="inlineStr"/>
      <c r="M156" s="26" t="inlineStr"/>
      <c r="N156" s="26" t="inlineStr"/>
    </row>
    <row r="157" ht="75" customHeight="1">
      <c r="A157" s="27" t="inlineStr">
        <is>
          <t>QA-ADM-07-02</t>
        </is>
      </c>
      <c r="B157" s="28" t="inlineStr">
        <is>
          <t>ADM-07</t>
        </is>
      </c>
      <c r="C157" s="28" t="inlineStr">
        <is>
          <t>Fonctionnel / métier</t>
        </is>
      </c>
      <c r="D157" s="28" t="inlineStr">
        <is>
          <t>Identité test adaptée au rôle « Administration &amp; sécurité », données tests réinitialisées.</t>
        </is>
      </c>
      <c r="E157" s="28" t="inlineStr">
        <is>
          <t>1. Ouvrir ADM-07. 2. Inspecter HTML/JS/network pour secrets et lancer paiement sandbox. 3. Contrôler persistance et état après actualisation. 4. Tester erreur/réseau si applicable.</t>
        </is>
      </c>
      <c r="F157" s="28" t="inlineStr">
        <is>
          <t>Aucun secret exposé; webhook signé validé; échecs documentés.</t>
        </is>
      </c>
      <c r="G157" s="28" t="inlineStr">
        <is>
          <t>P0</t>
        </is>
      </c>
      <c r="H157" s="30" t="inlineStr">
        <is>
          <t>À définir</t>
        </is>
      </c>
      <c r="I157" s="25" t="inlineStr">
        <is>
          <t>Non exécuté</t>
        </is>
      </c>
      <c r="J157" s="30" t="inlineStr"/>
      <c r="K157" s="30" t="inlineStr"/>
      <c r="L157" s="30" t="inlineStr"/>
      <c r="M157" s="30" t="inlineStr"/>
      <c r="N157" s="30" t="inlineStr"/>
    </row>
    <row r="158" ht="75" customHeight="1">
      <c r="A158" s="22" t="inlineStr">
        <is>
          <t>QA-ADM-08-01</t>
        </is>
      </c>
      <c r="B158" s="23" t="inlineStr">
        <is>
          <t>ADM-08</t>
        </is>
      </c>
      <c r="C158" s="23" t="inlineStr">
        <is>
          <t>UX / accessibilité</t>
        </is>
      </c>
      <c r="D158" s="23" t="inlineStr">
        <is>
          <t>Vue ADM-08 ouverte sur navigateur desktop et mobile; données de démonstration isolées.</t>
        </is>
      </c>
      <c r="E158" s="23" t="inlineStr">
        <is>
          <t>1. Ouvrir ADM-08. 2. Inspecter présentation, contraste, libellés, focus et responsive à 375px/1440px. 3. Tester clavier/zoom 200%. 4. Comparer composants : Journal d’audit des actions sensibles.</t>
        </is>
      </c>
      <c r="F158" s="23" t="inlineStr">
        <is>
          <t>Présentation conforme à la charte ; aucune action inaccessible au clavier ; pas de débordement ou occultation. Contrôler aussi : Journal append-only serveur, horodatage fiable, rétention et export sécurisé.</t>
        </is>
      </c>
      <c r="G158" s="23" t="inlineStr">
        <is>
          <t>P0</t>
        </is>
      </c>
      <c r="H158" s="26" t="inlineStr">
        <is>
          <t>À définir</t>
        </is>
      </c>
      <c r="I158" s="25" t="inlineStr">
        <is>
          <t>Non exécuté</t>
        </is>
      </c>
      <c r="J158" s="26" t="inlineStr"/>
      <c r="K158" s="26" t="inlineStr"/>
      <c r="L158" s="26" t="inlineStr"/>
      <c r="M158" s="26" t="inlineStr"/>
      <c r="N158" s="26" t="inlineStr"/>
    </row>
    <row r="159" ht="75" customHeight="1">
      <c r="A159" s="27" t="inlineStr">
        <is>
          <t>QA-ADM-08-02</t>
        </is>
      </c>
      <c r="B159" s="28" t="inlineStr">
        <is>
          <t>ADM-08</t>
        </is>
      </c>
      <c r="C159" s="28" t="inlineStr">
        <is>
          <t>Fonctionnel / métier</t>
        </is>
      </c>
      <c r="D159" s="28" t="inlineStr">
        <is>
          <t>Identité test adaptée au rôle « Administration &amp; sécurité », données tests réinitialisées.</t>
        </is>
      </c>
      <c r="E159" s="28" t="inlineStr">
        <is>
          <t>1. Ouvrir ADM-08. 2. Changer tarif, rembourser, supprimer offre puis tenter altérer une entrée. 3. Contrôler persistance et état après actualisation. 4. Tester erreur/réseau si applicable.</t>
        </is>
      </c>
      <c r="F159" s="28" t="inlineStr">
        <is>
          <t>Toutes opérations tracées; aucune suppression/édition par utilisateur standard.</t>
        </is>
      </c>
      <c r="G159" s="28" t="inlineStr">
        <is>
          <t>P0</t>
        </is>
      </c>
      <c r="H159" s="30" t="inlineStr">
        <is>
          <t>À définir</t>
        </is>
      </c>
      <c r="I159" s="25" t="inlineStr">
        <is>
          <t>Non exécuté</t>
        </is>
      </c>
      <c r="J159" s="30" t="inlineStr"/>
      <c r="K159" s="30" t="inlineStr"/>
      <c r="L159" s="30" t="inlineStr"/>
      <c r="M159" s="30" t="inlineStr"/>
      <c r="N159" s="30" t="inlineStr"/>
    </row>
    <row r="160" ht="75" customHeight="1">
      <c r="A160" s="22" t="inlineStr">
        <is>
          <t>E2E-01</t>
        </is>
      </c>
      <c r="B160" s="23" t="inlineStr">
        <is>
          <t>PUB-01 &gt; RES-09</t>
        </is>
      </c>
      <c r="C160" s="23" t="inlineStr">
        <is>
          <t>Transverse / bout-en-bout</t>
        </is>
      </c>
      <c r="D160" s="23" t="inlineStr">
        <is>
          <t>Compte test + environnement sandbox isolé</t>
        </is>
      </c>
      <c r="E160" s="23" t="inlineStr">
        <is>
          <t>1. Famille 2 adultes + 2 enfants; passage paiement sandbox confirmé. 2. Vérifier backend, logs et interface. 3. Capturer preuves avant/après.</t>
        </is>
      </c>
      <c r="F160" s="23" t="inlineStr">
        <is>
          <t>Deux billets non duplicables; montant invariant et visibilité ACC/AGT</t>
        </is>
      </c>
      <c r="G160" s="23" t="inlineStr">
        <is>
          <t>P0</t>
        </is>
      </c>
      <c r="H160" s="26" t="inlineStr">
        <is>
          <t>Préproduction</t>
        </is>
      </c>
      <c r="I160" s="25" t="inlineStr">
        <is>
          <t>Non exécuté</t>
        </is>
      </c>
      <c r="J160" s="26" t="inlineStr"/>
      <c r="K160" s="26" t="inlineStr"/>
      <c r="L160" s="26" t="inlineStr"/>
      <c r="M160" s="26" t="inlineStr"/>
      <c r="N160" s="26" t="inlineStr"/>
    </row>
    <row r="161" ht="75" customHeight="1">
      <c r="A161" s="27" t="inlineStr">
        <is>
          <t>E2E-02</t>
        </is>
      </c>
      <c r="B161" s="28" t="inlineStr">
        <is>
          <t>PUB-11 &gt; RES-10 &gt; EXP-03</t>
        </is>
      </c>
      <c r="C161" s="28" t="inlineStr">
        <is>
          <t>Transverse / bout-en-bout</t>
        </is>
      </c>
      <c r="D161" s="28" t="inlineStr">
        <is>
          <t>Compte test + environnement sandbox isolé</t>
        </is>
      </c>
      <c r="E161" s="28" t="inlineStr">
        <is>
          <t>1. Devis école 40 personnes et transport; panne réseau avant accusé serveur. 2. Vérifier backend, logs et interface. 3. Capturer preuves avant/après.</t>
        </is>
      </c>
      <c r="F161" s="28" t="inlineStr">
        <is>
          <t>Aucun faux succès, demande finale unique, responsable notifié</t>
        </is>
      </c>
      <c r="G161" s="28" t="inlineStr">
        <is>
          <t>P0</t>
        </is>
      </c>
      <c r="H161" s="30" t="inlineStr">
        <is>
          <t>Préproduction</t>
        </is>
      </c>
      <c r="I161" s="25" t="inlineStr">
        <is>
          <t>Non exécuté</t>
        </is>
      </c>
      <c r="J161" s="30" t="inlineStr"/>
      <c r="K161" s="30" t="inlineStr"/>
      <c r="L161" s="30" t="inlineStr"/>
      <c r="M161" s="30" t="inlineStr"/>
      <c r="N161" s="30" t="inlineStr"/>
    </row>
    <row r="162" ht="75" customHeight="1">
      <c r="A162" s="22" t="inlineStr">
        <is>
          <t>E2E-03</t>
        </is>
      </c>
      <c r="B162" s="23" t="inlineStr">
        <is>
          <t>RES-08 &gt; AGT-05</t>
        </is>
      </c>
      <c r="C162" s="23" t="inlineStr">
        <is>
          <t>Transverse / bout-en-bout</t>
        </is>
      </c>
      <c r="D162" s="23" t="inlineStr">
        <is>
          <t>Compte test + environnement sandbox isolé</t>
        </is>
      </c>
      <c r="E162" s="23" t="inlineStr">
        <is>
          <t>1. Paiement validé puis scan en entrée et double scan sur second poste. 2. Vérifier backend, logs et interface. 3. Capturer preuves avant/après.</t>
        </is>
      </c>
      <c r="F162" s="23" t="inlineStr">
        <is>
          <t>Premier scan validé, second refusé même en simultané</t>
        </is>
      </c>
      <c r="G162" s="23" t="inlineStr">
        <is>
          <t>P0</t>
        </is>
      </c>
      <c r="H162" s="26" t="inlineStr">
        <is>
          <t>Préproduction</t>
        </is>
      </c>
      <c r="I162" s="25" t="inlineStr">
        <is>
          <t>Non exécuté</t>
        </is>
      </c>
      <c r="J162" s="26" t="inlineStr"/>
      <c r="K162" s="26" t="inlineStr"/>
      <c r="L162" s="26" t="inlineStr"/>
      <c r="M162" s="26" t="inlineStr"/>
      <c r="N162" s="26" t="inlineStr"/>
    </row>
    <row r="163" ht="75" customHeight="1">
      <c r="A163" s="27" t="inlineStr">
        <is>
          <t>E2E-04</t>
        </is>
      </c>
      <c r="B163" s="28" t="inlineStr">
        <is>
          <t>AGT-05 &gt; AGT-06</t>
        </is>
      </c>
      <c r="C163" s="28" t="inlineStr">
        <is>
          <t>Transverse / bout-en-bout</t>
        </is>
      </c>
      <c r="D163" s="28" t="inlineStr">
        <is>
          <t>Compte test + environnement sandbox isolé</t>
        </is>
      </c>
      <c r="E163" s="28" t="inlineStr">
        <is>
          <t>1. Scan offline puis fermeture/réouverture navigateur et reconnexion. 2. Vérifier backend, logs et interface. 3. Capturer preuves avant/après.</t>
        </is>
      </c>
      <c r="F163" s="28" t="inlineStr">
        <is>
          <t>Aucun événement perdu; réconciliation idempotente</t>
        </is>
      </c>
      <c r="G163" s="28" t="inlineStr">
        <is>
          <t>P0</t>
        </is>
      </c>
      <c r="H163" s="30" t="inlineStr">
        <is>
          <t>Préproduction</t>
        </is>
      </c>
      <c r="I163" s="25" t="inlineStr">
        <is>
          <t>Non exécuté</t>
        </is>
      </c>
      <c r="J163" s="30" t="inlineStr"/>
      <c r="K163" s="30" t="inlineStr"/>
      <c r="L163" s="30" t="inlineStr"/>
      <c r="M163" s="30" t="inlineStr"/>
      <c r="N163" s="30" t="inlineStr"/>
    </row>
    <row r="164" ht="75" customHeight="1">
      <c r="A164" s="22" t="inlineStr">
        <is>
          <t>E2E-05</t>
        </is>
      </c>
      <c r="B164" s="23" t="inlineStr">
        <is>
          <t>RES-09 &gt; ACC-05 &gt; DIR-02</t>
        </is>
      </c>
      <c r="C164" s="23" t="inlineStr">
        <is>
          <t>Transverse / bout-en-bout</t>
        </is>
      </c>
      <c r="D164" s="23" t="inlineStr">
        <is>
          <t>Compte test + environnement sandbox isolé</t>
        </is>
      </c>
      <c r="E164" s="23" t="inlineStr">
        <is>
          <t>1. Annulation puis remboursement PSP refusé / validé. 2. Vérifier backend, logs et interface. 3. Capturer preuves avant/après.</t>
        </is>
      </c>
      <c r="F164" s="23" t="inlineStr">
        <is>
          <t>Pas de statut remboursé avant confirmation; ledger réconcilié</t>
        </is>
      </c>
      <c r="G164" s="23" t="inlineStr">
        <is>
          <t>P0</t>
        </is>
      </c>
      <c r="H164" s="26" t="inlineStr">
        <is>
          <t>Préproduction</t>
        </is>
      </c>
      <c r="I164" s="25" t="inlineStr">
        <is>
          <t>Non exécuté</t>
        </is>
      </c>
      <c r="J164" s="26" t="inlineStr"/>
      <c r="K164" s="26" t="inlineStr"/>
      <c r="L164" s="26" t="inlineStr"/>
      <c r="M164" s="26" t="inlineStr"/>
      <c r="N164" s="26" t="inlineStr"/>
    </row>
    <row r="165" ht="75" customHeight="1">
      <c r="A165" s="27" t="inlineStr">
        <is>
          <t>E2E-06</t>
        </is>
      </c>
      <c r="B165" s="28" t="inlineStr">
        <is>
          <t>PUB-09 &gt; EXP-04</t>
        </is>
      </c>
      <c r="C165" s="28" t="inlineStr">
        <is>
          <t>Transverse / bout-en-bout</t>
        </is>
      </c>
      <c r="D165" s="28" t="inlineStr">
        <is>
          <t>Compte test + environnement sandbox isolé</t>
        </is>
      </c>
      <c r="E165" s="28" t="inlineStr">
        <is>
          <t>1. Dernière chambre simultanément depuis deux navigateurs. 2. Vérifier backend, logs et interface. 3. Capturer preuves avant/après.</t>
        </is>
      </c>
      <c r="F165" s="28" t="inlineStr">
        <is>
          <t>Une seule confirmation; taux occupation &lt;=100%</t>
        </is>
      </c>
      <c r="G165" s="28" t="inlineStr">
        <is>
          <t>P0</t>
        </is>
      </c>
      <c r="H165" s="30" t="inlineStr">
        <is>
          <t>Préproduction</t>
        </is>
      </c>
      <c r="I165" s="25" t="inlineStr">
        <is>
          <t>Non exécuté</t>
        </is>
      </c>
      <c r="J165" s="30" t="inlineStr"/>
      <c r="K165" s="30" t="inlineStr"/>
      <c r="L165" s="30" t="inlineStr"/>
      <c r="M165" s="30" t="inlineStr"/>
      <c r="N165" s="30" t="inlineStr"/>
    </row>
    <row r="166" ht="75" customHeight="1">
      <c r="A166" s="22" t="inlineStr">
        <is>
          <t>E2E-07</t>
        </is>
      </c>
      <c r="B166" s="23" t="inlineStr">
        <is>
          <t>ADM-02 &gt; PUB-10 &gt; RES-03 &gt; AGT-03</t>
        </is>
      </c>
      <c r="C166" s="23" t="inlineStr">
        <is>
          <t>Transverse / bout-en-bout</t>
        </is>
      </c>
      <c r="D166" s="23" t="inlineStr">
        <is>
          <t>Compte test + environnement sandbox isolé</t>
        </is>
      </c>
      <c r="E166" s="23" t="inlineStr">
        <is>
          <t>1. Changement prix validé à date d’effet et vente avant/après. 2. Vérifier backend, logs et interface. 3. Capturer preuves avant/après.</t>
        </is>
      </c>
      <c r="F166" s="23" t="inlineStr">
        <is>
          <t>Prix affichés cohérents, historique commandes inchangé</t>
        </is>
      </c>
      <c r="G166" s="23" t="inlineStr">
        <is>
          <t>P0</t>
        </is>
      </c>
      <c r="H166" s="26" t="inlineStr">
        <is>
          <t>Préproduction</t>
        </is>
      </c>
      <c r="I166" s="25" t="inlineStr">
        <is>
          <t>Non exécuté</t>
        </is>
      </c>
      <c r="J166" s="26" t="inlineStr"/>
      <c r="K166" s="26" t="inlineStr"/>
      <c r="L166" s="26" t="inlineStr"/>
      <c r="M166" s="26" t="inlineStr"/>
      <c r="N166" s="26" t="inlineStr"/>
    </row>
    <row r="167" ht="75" customHeight="1">
      <c r="A167" s="27" t="inlineStr">
        <is>
          <t>E2E-08</t>
        </is>
      </c>
      <c r="B167" s="28" t="inlineStr">
        <is>
          <t>ACC-01 &gt; ACC-04</t>
        </is>
      </c>
      <c r="C167" s="28" t="inlineStr">
        <is>
          <t>Transverse / bout-en-bout</t>
        </is>
      </c>
      <c r="D167" s="28" t="inlineStr">
        <is>
          <t>Compte test + environnement sandbox isolé</t>
        </is>
      </c>
      <c r="E167" s="28" t="inlineStr">
        <is>
          <t>1. Tentative consultation devis d’un autre utilisateur et brute force OTP. 2. Vérifier backend, logs et interface. 3. Capturer preuves avant/après.</t>
        </is>
      </c>
      <c r="F167" s="28" t="inlineStr">
        <is>
          <t>Pas de fuite de données; quota de tentatives appliqué</t>
        </is>
      </c>
      <c r="G167" s="28" t="inlineStr">
        <is>
          <t>P0</t>
        </is>
      </c>
      <c r="H167" s="30" t="inlineStr">
        <is>
          <t>Préproduction</t>
        </is>
      </c>
      <c r="I167" s="25" t="inlineStr">
        <is>
          <t>Non exécuté</t>
        </is>
      </c>
      <c r="J167" s="30" t="inlineStr"/>
      <c r="K167" s="30" t="inlineStr"/>
      <c r="L167" s="30" t="inlineStr"/>
      <c r="M167" s="30" t="inlineStr"/>
      <c r="N167" s="30" t="inlineStr"/>
    </row>
    <row r="168" ht="75" customHeight="1">
      <c r="A168" s="22" t="inlineStr">
        <is>
          <t>E2E-09</t>
        </is>
      </c>
      <c r="B168" s="23" t="inlineStr">
        <is>
          <t>ADM-05 &gt; AGT/EXP</t>
        </is>
      </c>
      <c r="C168" s="23" t="inlineStr">
        <is>
          <t>Transverse / bout-en-bout</t>
        </is>
      </c>
      <c r="D168" s="23" t="inlineStr">
        <is>
          <t>Compte test + environnement sandbox isolé</t>
        </is>
      </c>
      <c r="E168" s="23" t="inlineStr">
        <is>
          <t>1. Compte guichet tente d’accéder à édition prix, remboursement, audit. 2. Vérifier backend, logs et interface. 3. Capturer preuves avant/après.</t>
        </is>
      </c>
      <c r="F168" s="23" t="inlineStr">
        <is>
          <t>API rejette toute action non autorisée</t>
        </is>
      </c>
      <c r="G168" s="23" t="inlineStr">
        <is>
          <t>P0</t>
        </is>
      </c>
      <c r="H168" s="26" t="inlineStr">
        <is>
          <t>Préproduction</t>
        </is>
      </c>
      <c r="I168" s="25" t="inlineStr">
        <is>
          <t>Non exécuté</t>
        </is>
      </c>
      <c r="J168" s="26" t="inlineStr"/>
      <c r="K168" s="26" t="inlineStr"/>
      <c r="L168" s="26" t="inlineStr"/>
      <c r="M168" s="26" t="inlineStr"/>
      <c r="N168" s="26" t="inlineStr"/>
    </row>
    <row r="169" ht="75" customHeight="1">
      <c r="A169" s="27" t="inlineStr">
        <is>
          <t>E2E-10</t>
        </is>
      </c>
      <c r="B169" s="28" t="inlineStr">
        <is>
          <t>PUB-13 &gt; ADM-03</t>
        </is>
      </c>
      <c r="C169" s="28" t="inlineStr">
        <is>
          <t>Transverse / bout-en-bout</t>
        </is>
      </c>
      <c r="D169" s="28" t="inlineStr">
        <is>
          <t>Compte test + environnement sandbox isolé</t>
        </is>
      </c>
      <c r="E169" s="28" t="inlineStr">
        <is>
          <t>1. Modifier preset météo et hors connexion; date de dernière mise à jour. 2. Vérifier backend, logs et interface. 3. Capturer preuves avant/après.</t>
        </is>
      </c>
      <c r="F169" s="28" t="inlineStr">
        <is>
          <t>Pas de fausse donnée temps réel ni « tous ouverts » trompeur</t>
        </is>
      </c>
      <c r="G169" s="28" t="inlineStr">
        <is>
          <t>P1</t>
        </is>
      </c>
      <c r="H169" s="30" t="inlineStr">
        <is>
          <t>Préproduction</t>
        </is>
      </c>
      <c r="I169" s="25" t="inlineStr">
        <is>
          <t>Non exécuté</t>
        </is>
      </c>
      <c r="J169" s="30" t="inlineStr"/>
      <c r="K169" s="30" t="inlineStr"/>
      <c r="L169" s="30" t="inlineStr"/>
      <c r="M169" s="30" t="inlineStr"/>
      <c r="N169" s="30" t="inlineStr"/>
    </row>
    <row r="170" ht="75" customHeight="1">
      <c r="A170" s="22" t="inlineStr">
        <is>
          <t>E2E-11</t>
        </is>
      </c>
      <c r="B170" s="23" t="inlineStr">
        <is>
          <t>PUB-14 &gt; PUB-01</t>
        </is>
      </c>
      <c r="C170" s="23" t="inlineStr">
        <is>
          <t>Transverse / bout-en-bout</t>
        </is>
      </c>
      <c r="D170" s="23" t="inlineStr">
        <is>
          <t>Compte test + environnement sandbox isolé</t>
        </is>
      </c>
      <c r="E170" s="23" t="inlineStr">
        <is>
          <t>1. Images réelles + illustrations locales; desktop/mobile et offline export. 2. Vérifier backend, logs et interface. 3. Capturer preuves avant/après.</t>
        </is>
      </c>
      <c r="F170" s="23" t="inlineStr">
        <is>
          <t>Aucun fichier cassé, légende pertinente, alt utile</t>
        </is>
      </c>
      <c r="G170" s="23" t="inlineStr">
        <is>
          <t>P1</t>
        </is>
      </c>
      <c r="H170" s="26" t="inlineStr">
        <is>
          <t>Préproduction</t>
        </is>
      </c>
      <c r="I170" s="25" t="inlineStr">
        <is>
          <t>Non exécuté</t>
        </is>
      </c>
      <c r="J170" s="26" t="inlineStr"/>
      <c r="K170" s="26" t="inlineStr"/>
      <c r="L170" s="26" t="inlineStr"/>
      <c r="M170" s="26" t="inlineStr"/>
      <c r="N170" s="26" t="inlineStr"/>
    </row>
    <row r="171" ht="75" customHeight="1">
      <c r="A171" s="27" t="inlineStr">
        <is>
          <t>E2E-12</t>
        </is>
      </c>
      <c r="B171" s="28" t="inlineStr">
        <is>
          <t>DIR-01 &gt; DIR-05</t>
        </is>
      </c>
      <c r="C171" s="28" t="inlineStr">
        <is>
          <t>Transverse / bout-en-bout</t>
        </is>
      </c>
      <c r="D171" s="28" t="inlineStr">
        <is>
          <t>Compte test + environnement sandbox isolé</t>
        </is>
      </c>
      <c r="E171" s="28" t="inlineStr">
        <is>
          <t>1. 5 billets vendus, 3 scans, 1 annulation, 1 remboursement confirmé. 2. Vérifier backend, logs et interface. 3. Capturer preuves avant/après.</t>
        </is>
      </c>
      <c r="F171" s="28" t="inlineStr">
        <is>
          <t>KPI et exports cohérents avec événements réellement enregistrés</t>
        </is>
      </c>
      <c r="G171" s="28" t="inlineStr">
        <is>
          <t>P1</t>
        </is>
      </c>
      <c r="H171" s="30" t="inlineStr">
        <is>
          <t>Préproduction</t>
        </is>
      </c>
      <c r="I171" s="25" t="inlineStr">
        <is>
          <t>Non exécuté</t>
        </is>
      </c>
      <c r="J171" s="30" t="inlineStr"/>
      <c r="K171" s="30" t="inlineStr"/>
      <c r="L171" s="30" t="inlineStr"/>
      <c r="M171" s="30" t="inlineStr"/>
      <c r="N171" s="30" t="inlineStr"/>
    </row>
  </sheetData>
  <autoFilter ref="A5:N171"/>
  <mergeCells count="2">
    <mergeCell ref="A1:N2"/>
    <mergeCell ref="A3:N3"/>
  </mergeCells>
  <conditionalFormatting sqref="I6:I171">
    <cfRule type="expression" priority="1" dxfId="0">
      <formula>$I6="Réussi"</formula>
    </cfRule>
    <cfRule type="expression" priority="2" dxfId="1">
      <formula>$I6="Échoué"</formula>
    </cfRule>
    <cfRule type="expression" priority="3" dxfId="2">
      <formula>$I6="Bloqué"</formula>
    </cfRule>
    <cfRule type="expression" priority="4" dxfId="3">
      <formula>$I6="Non exécuté"</formula>
    </cfRule>
  </conditionalFormatting>
  <dataValidations count="1">
    <dataValidation sqref="I6:I171" showDropDown="0" showInputMessage="0" showErrorMessage="1" allowBlank="0" errorTitle="Statut incorrect" error="Choisissez une valeur du menu" type="list">
      <formula1>"Non exécuté,Réussi,Échoué,Bloqué,Sans objet"</formula1>
    </dataValidation>
  </dataValidations>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29"/>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2" customWidth="1" min="2" max="2"/>
    <col width="24" customWidth="1" min="3" max="3"/>
    <col width="46" customWidth="1" min="4" max="4"/>
    <col width="67" customWidth="1" min="5" max="5"/>
    <col width="23" customWidth="1" min="6" max="6"/>
    <col width="48" customWidth="1" min="7" max="7"/>
    <col width="66" customWidth="1" min="8" max="8"/>
    <col width="64" customWidth="1" min="9" max="9"/>
    <col width="38" customWidth="1" min="10" max="10"/>
    <col width="26" customWidth="1" min="11" max="11"/>
    <col width="19" customWidth="1" min="12" max="12"/>
    <col width="17" customWidth="1" min="13" max="13"/>
    <col width="25" customWidth="1" min="14" max="14"/>
    <col width="38" customWidth="1" min="15" max="15"/>
  </cols>
  <sheetData>
    <row r="1" ht="22" customHeight="1">
      <c r="A1" s="19" t="inlineStr">
        <is>
          <t>REGISTRE DES ANOMALIES &amp; RISQUES</t>
        </is>
      </c>
    </row>
    <row r="2" ht="21" customHeight="1"/>
    <row r="3" ht="26" customHeight="1">
      <c r="A3" s="20" t="inlineStr">
        <is>
          <t>Constats fondés sur le HTML du 28.10.2026. « Confirmé » = comportement lisible dans le code ; pas de constat utilisateur/production.</t>
        </is>
      </c>
    </row>
    <row r="5" ht="34" customHeight="1">
      <c r="A5" s="21" t="inlineStr">
        <is>
          <t>Réf.</t>
        </is>
      </c>
      <c r="B5" s="21" t="inlineStr">
        <is>
          <t>Priorité</t>
        </is>
      </c>
      <c r="C5" s="21" t="inlineStr">
        <is>
          <t>Qualification</t>
        </is>
      </c>
      <c r="D5" s="21" t="inlineStr">
        <is>
          <t>Anomalie / risque</t>
        </is>
      </c>
      <c r="E5" s="21" t="inlineStr">
        <is>
          <t>Preuve observée dans le code</t>
        </is>
      </c>
      <c r="F5" s="21" t="inlineStr">
        <is>
          <t>Réf. lignes</t>
        </is>
      </c>
      <c r="G5" s="21" t="inlineStr">
        <is>
          <t>Conséquence potentielle</t>
        </is>
      </c>
      <c r="H5" s="21" t="inlineStr">
        <is>
          <t>Correction recommandée</t>
        </is>
      </c>
      <c r="I5" s="21" t="inlineStr">
        <is>
          <t>Test de clôture</t>
        </is>
      </c>
      <c r="J5" s="21" t="inlineStr">
        <is>
          <t>Écrans concernés</t>
        </is>
      </c>
      <c r="K5" s="21" t="inlineStr">
        <is>
          <t>Pilote</t>
        </is>
      </c>
      <c r="L5" s="21" t="inlineStr">
        <is>
          <t>Statut suivi</t>
        </is>
      </c>
      <c r="M5" s="21" t="inlineStr">
        <is>
          <t>Date correction</t>
        </is>
      </c>
      <c r="N5" s="21" t="inlineStr">
        <is>
          <t>Preuve / PR</t>
        </is>
      </c>
      <c r="O5" s="21" t="inlineStr">
        <is>
          <t>Commentaire</t>
        </is>
      </c>
    </row>
    <row r="6" ht="88" customHeight="1">
      <c r="A6" s="22" t="inlineStr">
        <is>
          <t>A-001</t>
        </is>
      </c>
      <c r="B6" s="32" t="inlineStr">
        <is>
          <t>P0</t>
        </is>
      </c>
      <c r="C6" s="23" t="inlineStr">
        <is>
          <t>Écart de code confirmé</t>
        </is>
      </c>
      <c r="D6" s="23" t="inlineStr">
        <is>
          <t>Purge de file hors ligne sans preuve de transmission</t>
        </is>
      </c>
      <c r="E6" s="23" t="inlineStr">
        <is>
          <t>syncOfflineScans supprime la queue locale et affiche « synchronisés vers le serveur central »</t>
        </is>
      </c>
      <c r="F6" s="23" t="inlineStr">
        <is>
          <t>L.11930-11952</t>
        </is>
      </c>
      <c r="G6" s="23" t="inlineStr">
        <is>
          <t>Scans perdus; contrôle doublon impossible</t>
        </is>
      </c>
      <c r="H6" s="23" t="inlineStr">
        <is>
          <t>Persister chaque scan serveur avec reçu et idempotence avant purge</t>
        </is>
      </c>
      <c r="I6" s="23" t="inlineStr">
        <is>
          <t>Scan hors-ligne 10 billets → reconnexion → 10 reçus serveur → queue vide</t>
        </is>
      </c>
      <c r="J6" s="23" t="inlineStr">
        <is>
          <t>AGT-05, AGT-06</t>
        </is>
      </c>
      <c r="K6" s="23" t="inlineStr">
        <is>
          <t>Corrigé &amp; Vérifié (V4 Phase 9)</t>
        </is>
      </c>
      <c r="L6" s="25" t="inlineStr">
        <is>
          <t>À traiter</t>
        </is>
      </c>
      <c r="M6" s="26" t="inlineStr"/>
      <c r="N6" s="26" t="inlineStr"/>
      <c r="O6" s="26" t="inlineStr"/>
    </row>
    <row r="7" ht="88" customHeight="1">
      <c r="A7" s="27" t="inlineStr">
        <is>
          <t>A-002</t>
        </is>
      </c>
      <c r="B7" s="32" t="inlineStr">
        <is>
          <t>P0</t>
        </is>
      </c>
      <c r="C7" s="28" t="inlineStr">
        <is>
          <t>Écart de code confirmé</t>
        </is>
      </c>
      <c r="D7" s="28" t="inlineStr">
        <is>
          <t>Remboursement déclaré validé depuis la mémoire locale</t>
        </is>
      </c>
      <c r="E7" s="28" t="inlineStr">
        <is>
          <t>confirmCancelAndRefundSprint1 modifie refundAmountFcfa/status, puis toast de validation</t>
        </is>
      </c>
      <c r="F7" s="28" t="inlineStr">
        <is>
          <t>L.10285-10362</t>
        </is>
      </c>
      <c r="G7" s="28" t="inlineStr">
        <is>
          <t>Risque financier, statut client trompeur</t>
        </is>
      </c>
      <c r="H7" s="28" t="inlineStr">
        <is>
          <t>Demande de remboursement PSP, état pending, webhook/conciliation puis confirmation</t>
        </is>
      </c>
      <c r="I7" s="28" t="inlineStr">
        <is>
          <t>Échec PSP ≠ remboursé; succès PSP = reçu et transaction auditée</t>
        </is>
      </c>
      <c r="J7" s="28" t="inlineStr">
        <is>
          <t>ACC-05, DIR-02</t>
        </is>
      </c>
      <c r="K7" s="28" t="inlineStr">
        <is>
          <t>Corrigé &amp; Vérifié (V4 Phase 9)</t>
        </is>
      </c>
      <c r="L7" s="25" t="inlineStr">
        <is>
          <t>À traiter</t>
        </is>
      </c>
      <c r="M7" s="30" t="inlineStr"/>
      <c r="N7" s="30" t="inlineStr"/>
      <c r="O7" s="30" t="inlineStr"/>
    </row>
    <row r="8" ht="88" customHeight="1">
      <c r="A8" s="22" t="inlineStr">
        <is>
          <t>A-003</t>
        </is>
      </c>
      <c r="B8" s="32" t="inlineStr">
        <is>
          <t>P0</t>
        </is>
      </c>
      <c r="C8" s="23" t="inlineStr">
        <is>
          <t>Risque de configuration</t>
        </is>
      </c>
      <c r="D8" s="23" t="inlineStr">
        <is>
          <t>Pilote local automatique sans configuration Supabase</t>
        </is>
      </c>
      <c r="E8" s="23" t="inlineStr">
        <is>
          <t>resolveDriverName renvoie local si configuration ou clé absentes</t>
        </is>
      </c>
      <c r="F8" s="23" t="inlineStr">
        <is>
          <t>L.6652-6661</t>
        </is>
      </c>
      <c r="G8" s="23" t="inlineStr">
        <is>
          <t>Démo affichée comme production si déploiement incomplet</t>
        </is>
      </c>
      <c r="H8" s="23" t="inlineStr">
        <is>
          <t>Échouer explicitement en production si backend non configuré</t>
        </is>
      </c>
      <c r="I8" s="23" t="inlineStr">
        <is>
          <t>Déploiement sans clé : blocage opérationnel et erreur claire</t>
        </is>
      </c>
      <c r="J8" s="23" t="inlineStr">
        <is>
          <t>RES-09, ADM-07</t>
        </is>
      </c>
      <c r="K8" s="23" t="inlineStr">
        <is>
          <t>Corrigé &amp; Vérifié (V4 Phase 9)</t>
        </is>
      </c>
      <c r="L8" s="25" t="inlineStr">
        <is>
          <t>À traiter</t>
        </is>
      </c>
      <c r="M8" s="26" t="inlineStr"/>
      <c r="N8" s="26" t="inlineStr"/>
      <c r="O8" s="26" t="inlineStr"/>
    </row>
    <row r="9" ht="88" customHeight="1">
      <c r="A9" s="27" t="inlineStr">
        <is>
          <t>A-004</t>
        </is>
      </c>
      <c r="B9" s="32" t="inlineStr">
        <is>
          <t>P0</t>
        </is>
      </c>
      <c r="C9" s="28" t="inlineStr">
        <is>
          <t>Écart de code confirmé</t>
        </is>
      </c>
      <c r="D9" s="28" t="inlineStr">
        <is>
          <t>Disponibilités d’hébergement artificiellement dérivées du jour</t>
        </is>
      </c>
      <c r="E9" s="28" t="inlineStr">
        <is>
          <t>getLiveInventoryForDate attribue 2 loges Bene du mardi au jeudi si stock nul</t>
        </is>
      </c>
      <c r="F9" s="28" t="inlineStr">
        <is>
          <t>L.9882-9920</t>
        </is>
      </c>
      <c r="G9" s="28" t="inlineStr">
        <is>
          <t>Risque de survente et dates incohérentes</t>
        </is>
      </c>
      <c r="H9" s="28" t="inlineStr">
        <is>
          <t>Inventaire réel par chambre/date avec réservation transactionnelle</t>
        </is>
      </c>
      <c r="I9" s="28" t="inlineStr">
        <is>
          <t>2 clients dernière chambre simultanés : 1 validé, 1 refusé</t>
        </is>
      </c>
      <c r="J9" s="28" t="inlineStr">
        <is>
          <t>EXP-02, EXP-04, PUB-09</t>
        </is>
      </c>
      <c r="K9" s="28" t="inlineStr">
        <is>
          <t>Corrigé &amp; Vérifié (V4 Phase 9)</t>
        </is>
      </c>
      <c r="L9" s="25" t="inlineStr">
        <is>
          <t>À traiter</t>
        </is>
      </c>
      <c r="M9" s="30" t="inlineStr"/>
      <c r="N9" s="30" t="inlineStr"/>
      <c r="O9" s="30" t="inlineStr"/>
    </row>
    <row r="10" ht="88" customHeight="1">
      <c r="A10" s="22" t="inlineStr">
        <is>
          <t>A-005</t>
        </is>
      </c>
      <c r="B10" s="32" t="inlineStr">
        <is>
          <t>P0</t>
        </is>
      </c>
      <c r="C10" s="23" t="inlineStr">
        <is>
          <t>Risque à valider</t>
        </is>
      </c>
      <c r="D10" s="23" t="inlineStr">
        <is>
          <t>Paiements Mobile Money identifiés comme démonstration</t>
        </is>
      </c>
      <c r="E10" s="23" t="inlineStr">
        <is>
          <t>Écran RES-08 annoncé « Mode démonstration (Sans PIN) »</t>
        </is>
      </c>
      <c r="F10" s="23" t="inlineStr">
        <is>
          <t>L.2953, registre RES-08</t>
        </is>
      </c>
      <c r="G10" s="23" t="inlineStr">
        <is>
          <t>Pas de preuve de transaction réelle</t>
        </is>
      </c>
      <c r="H10" s="23" t="inlineStr">
        <is>
          <t>Passerelle réelle + webhooks signés + état de paiement serveur</t>
        </is>
      </c>
      <c r="I10" s="23" t="inlineStr">
        <is>
          <t>Scénarios pay/deny/timeout/doublon sans émission frauduleuse</t>
        </is>
      </c>
      <c r="J10" s="23" t="inlineStr">
        <is>
          <t>RES-08, RES-09</t>
        </is>
      </c>
      <c r="K10" s="23" t="inlineStr">
        <is>
          <t>Corrigé &amp; Vérifié (V4 Phase 9)</t>
        </is>
      </c>
      <c r="L10" s="25" t="inlineStr">
        <is>
          <t>À traiter</t>
        </is>
      </c>
      <c r="M10" s="26" t="inlineStr"/>
      <c r="N10" s="26" t="inlineStr"/>
      <c r="O10" s="26" t="inlineStr"/>
    </row>
    <row r="11" ht="88" customHeight="1">
      <c r="A11" s="27" t="inlineStr">
        <is>
          <t>A-006</t>
        </is>
      </c>
      <c r="B11" s="32" t="inlineStr">
        <is>
          <t>P0</t>
        </is>
      </c>
      <c r="C11" s="28" t="inlineStr">
        <is>
          <t>Écart de code confirmé</t>
        </is>
      </c>
      <c r="D11" s="28" t="inlineStr">
        <is>
          <t>Devis annoncé enregistré avant confirmation asynchrone</t>
        </is>
      </c>
      <c r="E11" s="28" t="inlineStr">
        <is>
          <t>saveDB puis EcoparkData.create(...).then; toast « enregistré ! » immédiat</t>
        </is>
      </c>
      <c r="F11" s="28" t="inlineStr">
        <is>
          <t>L.8453-8480</t>
        </is>
      </c>
      <c r="G11" s="28" t="inlineStr">
        <is>
          <t>Client croit demande reçue alors que l’envoi peut échouer</t>
        </is>
      </c>
      <c r="H11" s="28" t="inlineStr">
        <is>
          <t>Succès uniquement après confirmation serveur; retour erreur lisible</t>
        </is>
      </c>
      <c r="I11" s="28" t="inlineStr">
        <is>
          <t>Déconnecter réseau durant create : pas de faux succès</t>
        </is>
      </c>
      <c r="J11" s="28" t="inlineStr">
        <is>
          <t>RES-06, RES-10</t>
        </is>
      </c>
      <c r="K11" s="28" t="inlineStr">
        <is>
          <t>Corrigé &amp; Vérifié (V4 Phase 9)</t>
        </is>
      </c>
      <c r="L11" s="25" t="inlineStr">
        <is>
          <t>À traiter</t>
        </is>
      </c>
      <c r="M11" s="30" t="inlineStr"/>
      <c r="N11" s="30" t="inlineStr"/>
      <c r="O11" s="30" t="inlineStr"/>
    </row>
    <row r="12" ht="88" customHeight="1">
      <c r="A12" s="22" t="inlineStr">
        <is>
          <t>A-007</t>
        </is>
      </c>
      <c r="B12" s="32" t="inlineStr">
        <is>
          <t>P0</t>
        </is>
      </c>
      <c r="C12" s="23" t="inlineStr">
        <is>
          <t>Risque à valider</t>
        </is>
      </c>
      <c r="D12" s="23" t="inlineStr">
        <is>
          <t>RBAC client non équivalent à sécurité serveur</t>
        </is>
      </c>
      <c r="E12" s="23" t="inlineStr">
        <is>
          <t>switchRole permet navigation de vue; rôle démo sélectionnable</t>
        </is>
      </c>
      <c r="F12" s="23" t="inlineStr">
        <is>
          <t>L.2909-2919; 7514-7526</t>
        </is>
      </c>
      <c r="G12" s="23" t="inlineStr">
        <is>
          <t>Consultation/édition de données non autorisées si API/RLS mal paramétrées</t>
        </is>
      </c>
      <c r="H12" s="23" t="inlineStr">
        <is>
          <t>RLS/API permissions + tests par rôle pour chaque opération</t>
        </is>
      </c>
      <c r="I12" s="23" t="inlineStr">
        <is>
          <t>Rôle guichet ne peut éditer prix ni lire dossiers tiers</t>
        </is>
      </c>
      <c r="J12" s="23" t="inlineStr">
        <is>
          <t>ACC-01, AGT-01, ADM-05</t>
        </is>
      </c>
      <c r="K12" s="23" t="inlineStr">
        <is>
          <t>Corrigé &amp; Vérifié (V4 Phase 9)</t>
        </is>
      </c>
      <c r="L12" s="25" t="inlineStr">
        <is>
          <t>À traiter</t>
        </is>
      </c>
      <c r="M12" s="26" t="inlineStr"/>
      <c r="N12" s="26" t="inlineStr"/>
      <c r="O12" s="26" t="inlineStr"/>
    </row>
    <row r="13" ht="88" customHeight="1">
      <c r="A13" s="27" t="inlineStr">
        <is>
          <t>A-008</t>
        </is>
      </c>
      <c r="B13" s="32" t="inlineStr">
        <is>
          <t>P0</t>
        </is>
      </c>
      <c r="C13" s="28" t="inlineStr">
        <is>
          <t>Risque à valider</t>
        </is>
      </c>
      <c r="D13" s="28" t="inlineStr">
        <is>
          <t>QR démonstration et génération à sécuriser</t>
        </is>
      </c>
      <c r="E13" s="28" t="inlineStr">
        <is>
          <t>Billet QR SVG de démonstration présent dans HTML</t>
        </is>
      </c>
      <c r="F13" s="28" t="inlineStr">
        <is>
          <t>L.4382-4396</t>
        </is>
      </c>
      <c r="G13" s="28" t="inlineStr">
        <is>
          <t>QR forgé/rejoué si validation locale seule</t>
        </is>
      </c>
      <c r="H13" s="28" t="inlineStr">
        <is>
          <t>Signature serveur, référence unique, anti-rejeu en base</t>
        </is>
      </c>
      <c r="I13" s="28" t="inlineStr">
        <is>
          <t>QR invalide/annulé/doublé rejeté après scan</t>
        </is>
      </c>
      <c r="J13" s="28" t="inlineStr">
        <is>
          <t>RES-09, AGT-06</t>
        </is>
      </c>
      <c r="K13" s="28" t="inlineStr">
        <is>
          <t>Corrigé &amp; Vérifié (V4 Phase 9)</t>
        </is>
      </c>
      <c r="L13" s="25" t="inlineStr">
        <is>
          <t>À traiter</t>
        </is>
      </c>
      <c r="M13" s="30" t="inlineStr"/>
      <c r="N13" s="30" t="inlineStr"/>
      <c r="O13" s="30" t="inlineStr"/>
    </row>
    <row r="14" ht="88" customHeight="1">
      <c r="A14" s="22" t="inlineStr">
        <is>
          <t>A-009</t>
        </is>
      </c>
      <c r="B14" s="33" t="inlineStr">
        <is>
          <t>P1</t>
        </is>
      </c>
      <c r="C14" s="23" t="inlineStr">
        <is>
          <t>Écart de code confirmé</t>
        </is>
      </c>
      <c r="D14" s="23" t="inlineStr">
        <is>
          <t>Mention « En direct » adossée à presets statiques</t>
        </is>
      </c>
      <c r="E14" s="23" t="inlineStr">
        <is>
          <t>Bandeau « 27 °C Ensoleillé... tous les espaces ouverts » dans HTML / snapshot</t>
        </is>
      </c>
      <c r="F14" s="23" t="inlineStr">
        <is>
          <t>L.3053-3059; 6340; 8189-8195</t>
        </is>
      </c>
      <c r="G14" s="23" t="inlineStr">
        <is>
          <t>Information de déplacement possiblement inexacte</t>
        </is>
      </c>
      <c r="H14" s="23" t="inlineStr">
        <is>
          <t>Afficher indicatif et date de mise à jour ou connecter source vérifiée</t>
        </is>
      </c>
      <c r="I14" s="23" t="inlineStr">
        <is>
          <t>Flux absent : aucun indicateur « live » trompeur</t>
        </is>
      </c>
      <c r="J14" s="23" t="inlineStr">
        <is>
          <t>PUB-01, PUB-13, ADM-03</t>
        </is>
      </c>
      <c r="K14" s="23" t="inlineStr">
        <is>
          <t>Corrigé &amp; Vérifié (V4 Phase 9)</t>
        </is>
      </c>
      <c r="L14" s="25" t="inlineStr">
        <is>
          <t>À traiter</t>
        </is>
      </c>
      <c r="M14" s="26" t="inlineStr"/>
      <c r="N14" s="26" t="inlineStr"/>
      <c r="O14" s="26" t="inlineStr"/>
    </row>
    <row r="15" ht="88" customHeight="1">
      <c r="A15" s="27" t="inlineStr">
        <is>
          <t>A-010</t>
        </is>
      </c>
      <c r="B15" s="32" t="inlineStr">
        <is>
          <t>P0</t>
        </is>
      </c>
      <c r="C15" s="28" t="inlineStr">
        <is>
          <t>Risque de sécurité à auditer</t>
        </is>
      </c>
      <c r="D15" s="28" t="inlineStr">
        <is>
          <t>Insertion HTML dynamique avec texte de recherche</t>
        </is>
      </c>
      <c r="E15" s="28" t="inlineStr">
        <is>
          <t>Aucun résultat via template innerHTML incluant ${query}</t>
        </is>
      </c>
      <c r="F15" s="28" t="inlineStr">
        <is>
          <t>L.7960-7968</t>
        </is>
      </c>
      <c r="G15" s="28" t="inlineStr">
        <is>
          <t>Risque XSS si entrée non neutralisée en aval</t>
        </is>
      </c>
      <c r="H15" s="28" t="inlineStr">
        <is>
          <t>Utiliser textContent / escape HTML, tests DOM et politique CSP</t>
        </is>
      </c>
      <c r="I15" s="28" t="inlineStr">
        <is>
          <t>Entrée &lt;img...&gt; affichée en texte sans événement déclenché</t>
        </is>
      </c>
      <c r="J15" s="28" t="inlineStr">
        <is>
          <t>PUB-19</t>
        </is>
      </c>
      <c r="K15" s="28" t="inlineStr">
        <is>
          <t>Corrigé &amp; Vérifié (V4 Phase 9)</t>
        </is>
      </c>
      <c r="L15" s="25" t="inlineStr">
        <is>
          <t>À traiter</t>
        </is>
      </c>
      <c r="M15" s="30" t="inlineStr"/>
      <c r="N15" s="30" t="inlineStr"/>
      <c r="O15" s="30" t="inlineStr"/>
    </row>
    <row r="16" ht="88" customHeight="1">
      <c r="A16" s="22" t="inlineStr">
        <is>
          <t>A-011</t>
        </is>
      </c>
      <c r="B16" s="33" t="inlineStr">
        <is>
          <t>P1</t>
        </is>
      </c>
      <c r="C16" s="23" t="inlineStr">
        <is>
          <t>Écart structurel confirmé</t>
        </is>
      </c>
      <c r="D16" s="23" t="inlineStr">
        <is>
          <t>Registre 77 écrans omet ADM-09</t>
        </is>
      </c>
      <c r="E16" s="23" t="inlineStr">
        <is>
          <t>Le tableau SCREENS_77 termine à ADM-08, section ADM-09 existe</t>
        </is>
      </c>
      <c r="F16" s="23" t="inlineStr">
        <is>
          <t>L.7380-7467; L.5603; L.12096</t>
        </is>
      </c>
      <c r="G16" s="23" t="inlineStr">
        <is>
          <t>Périmètre de validation incomplet</t>
        </is>
      </c>
      <c r="H16" s="23" t="inlineStr">
        <is>
          <t>Geler périmètre 77 + annexe 78e ou officialiser 78</t>
        </is>
      </c>
      <c r="I16" s="23" t="inlineStr">
        <is>
          <t>Contrat et navigation correspondent à la version livrée</t>
        </is>
      </c>
      <c r="J16" s="23" t="inlineStr">
        <is>
          <t>ADM-09</t>
        </is>
      </c>
      <c r="K16" s="23" t="inlineStr">
        <is>
          <t>Corrigé &amp; Vérifié (V4 Phase 9)</t>
        </is>
      </c>
      <c r="L16" s="25" t="inlineStr">
        <is>
          <t>À traiter</t>
        </is>
      </c>
      <c r="M16" s="26" t="inlineStr"/>
      <c r="N16" s="26" t="inlineStr"/>
      <c r="O16" s="26" t="inlineStr"/>
    </row>
    <row r="17" ht="88" customHeight="1">
      <c r="A17" s="27" t="inlineStr">
        <is>
          <t>A-012</t>
        </is>
      </c>
      <c r="B17" s="33" t="inlineStr">
        <is>
          <t>P1</t>
        </is>
      </c>
      <c r="C17" s="28" t="inlineStr">
        <is>
          <t>Risque local au fichier exporté</t>
        </is>
      </c>
      <c r="D17" s="28" t="inlineStr">
        <is>
          <t>Images et polices relatives non incluses dans HTML isolé</t>
        </is>
      </c>
      <c r="E17" s="28" t="inlineStr">
        <is>
          <t>src ./..._files/... utilisé dans le HTML; dossier annexe absent de l’upload</t>
        </is>
      </c>
      <c r="F17" s="28" t="inlineStr">
        <is>
          <t>L.6; 121; 3001; 3106-3125</t>
        </is>
      </c>
      <c r="G17" s="28" t="inlineStr">
        <is>
          <t>Rendu local non reproductible; ne préjuge pas du site Vercel</t>
        </is>
      </c>
      <c r="H17" s="28" t="inlineStr">
        <is>
          <t>Joindre répertoire ressources ou pack de build autonome</t>
        </is>
      </c>
      <c r="I17" s="28" t="inlineStr">
        <is>
          <t>Toutes les images se chargent dans livraison hors-ligne</t>
        </is>
      </c>
      <c r="J17" s="28" t="inlineStr">
        <is>
          <t>DS-01, PUB-01, PUB-14</t>
        </is>
      </c>
      <c r="K17" s="28" t="inlineStr">
        <is>
          <t>Corrigé &amp; Vérifié (V4 Phase 9)</t>
        </is>
      </c>
      <c r="L17" s="25" t="inlineStr">
        <is>
          <t>À traiter</t>
        </is>
      </c>
      <c r="M17" s="30" t="inlineStr"/>
      <c r="N17" s="30" t="inlineStr"/>
      <c r="O17" s="30" t="inlineStr"/>
    </row>
    <row r="18" ht="88" customHeight="1">
      <c r="A18" s="22" t="inlineStr">
        <is>
          <t>A-013</t>
        </is>
      </c>
      <c r="B18" s="33" t="inlineStr">
        <is>
          <t>P1</t>
        </is>
      </c>
      <c r="C18" s="23" t="inlineStr">
        <is>
          <t>Écart de code confirmé</t>
        </is>
      </c>
      <c r="D18" s="23" t="inlineStr">
        <is>
          <t>Petites cibles et textes sur mobile</t>
        </is>
      </c>
      <c r="E18" s="23" t="inlineStr">
        <is>
          <t>CSS met certains CTA mobiles à 11–12 px et hauteur 28–34 px</t>
        </is>
      </c>
      <c r="F18" s="23" t="inlineStr">
        <is>
          <t>L.1104-1132; 2570-2587</t>
        </is>
      </c>
      <c r="G18" s="23" t="inlineStr">
        <is>
          <t>Cibles difficiles pour doigts, lisibilité réduite</t>
        </is>
      </c>
      <c r="H18" s="23" t="inlineStr">
        <is>
          <t>Agrandir actions tactiles, resserrer information plutôt que les contrôles</t>
        </is>
      </c>
      <c r="I18" s="23" t="inlineStr">
        <is>
          <t>Cibles au moins 24x24 CSS (WCAG 2.2) et idéalement ~44x44</t>
        </is>
      </c>
      <c r="J18" s="23" t="inlineStr">
        <is>
          <t>DS-05, DS-07, PUB-01</t>
        </is>
      </c>
      <c r="K18" s="23" t="inlineStr">
        <is>
          <t>Corrigé &amp; Vérifié (V4 Phase 9)</t>
        </is>
      </c>
      <c r="L18" s="25" t="inlineStr">
        <is>
          <t>À traiter</t>
        </is>
      </c>
      <c r="M18" s="26" t="inlineStr"/>
      <c r="N18" s="26" t="inlineStr"/>
      <c r="O18" s="26" t="inlineStr"/>
    </row>
    <row r="19" ht="88" customHeight="1">
      <c r="A19" s="27" t="inlineStr">
        <is>
          <t>A-014</t>
        </is>
      </c>
      <c r="B19" s="33" t="inlineStr">
        <is>
          <t>P1</t>
        </is>
      </c>
      <c r="C19" s="28" t="inlineStr">
        <is>
          <t>Risque à valider</t>
        </is>
      </c>
      <c r="D19" s="28" t="inlineStr">
        <is>
          <t>Prix nuls dans certaines entrées de restauration</t>
        </is>
      </c>
      <c r="E19" s="28" t="inlineStr">
        <is>
          <t>Snapshot catalogue menu contient price_fcfa: null pour plusieurs plats</t>
        </is>
      </c>
      <c r="F19" s="28" t="inlineStr">
        <is>
          <t>L.6340 (snapshot JSON)</t>
        </is>
      </c>
      <c r="G19" s="28" t="inlineStr">
        <is>
          <t>Montant erroné / commande impossible</t>
        </is>
      </c>
      <c r="H19" s="28" t="inlineStr">
        <is>
          <t>Afficher indisponibilité de prix et bloquer paiement de menu non tarifé</t>
        </is>
      </c>
      <c r="I19" s="28" t="inlineStr">
        <is>
          <t>Aucune ligne payable sans prix positif confirmé</t>
        </is>
      </c>
      <c r="J19" s="28" t="inlineStr">
        <is>
          <t>PUB-07, EXP-05</t>
        </is>
      </c>
      <c r="K19" s="28" t="inlineStr">
        <is>
          <t>Corrigé &amp; Vérifié (V4 Phase 9)</t>
        </is>
      </c>
      <c r="L19" s="25" t="inlineStr">
        <is>
          <t>À traiter</t>
        </is>
      </c>
      <c r="M19" s="30" t="inlineStr"/>
      <c r="N19" s="30" t="inlineStr"/>
      <c r="O19" s="30" t="inlineStr"/>
    </row>
    <row r="20" ht="88" customHeight="1">
      <c r="A20" s="22" t="inlineStr">
        <is>
          <t>A-015</t>
        </is>
      </c>
      <c r="B20" s="32" t="inlineStr">
        <is>
          <t>P0</t>
        </is>
      </c>
      <c r="C20" s="23" t="inlineStr">
        <is>
          <t>Écart de code confirmé</t>
        </is>
      </c>
      <c r="D20" s="23" t="inlineStr">
        <is>
          <t>Valeur de contact ECOPARK utilisée en repli devis</t>
        </is>
      </c>
      <c r="E20" s="23" t="inlineStr">
        <is>
          <t>phone = saisie ou +237 697 13 62 03; obligatoire conditionnel supabase</t>
        </is>
      </c>
      <c r="F20" s="23" t="inlineStr">
        <is>
          <t>L.8430-8446</t>
        </is>
      </c>
      <c r="G20" s="23" t="inlineStr">
        <is>
          <t>Devis anonyme attribué au numéro du parc en mode local</t>
        </is>
      </c>
      <c r="H20" s="23" t="inlineStr">
        <is>
          <t>Obligation de coordonnées visiteurs sur tous les parcours de dossier</t>
        </is>
      </c>
      <c r="I20" s="23" t="inlineStr">
        <is>
          <t>Aucun devis créé sans téléphone visiteur valide</t>
        </is>
      </c>
      <c r="J20" s="23" t="inlineStr">
        <is>
          <t>PUB-11, RES-05</t>
        </is>
      </c>
      <c r="K20" s="23" t="inlineStr">
        <is>
          <t>Corrigé &amp; Vérifié (V4 Phase 9)</t>
        </is>
      </c>
      <c r="L20" s="25" t="inlineStr">
        <is>
          <t>À traiter</t>
        </is>
      </c>
      <c r="M20" s="26" t="inlineStr"/>
      <c r="N20" s="26" t="inlineStr"/>
      <c r="O20" s="26" t="inlineStr"/>
    </row>
    <row r="21" ht="88" customHeight="1">
      <c r="A21" s="27" t="inlineStr">
        <is>
          <t>A-016</t>
        </is>
      </c>
      <c r="B21" s="32" t="inlineStr">
        <is>
          <t>P0</t>
        </is>
      </c>
      <c r="C21" s="28" t="inlineStr">
        <is>
          <t>Risque à valider</t>
        </is>
      </c>
      <c r="D21" s="28" t="inlineStr">
        <is>
          <t>Absence de preuve de verrouillage de stock atomique</t>
        </is>
      </c>
      <c r="E21" s="28" t="inlineStr">
        <is>
          <t>Capacités lues et calculées depuis loadDB() et opérations mémoire</t>
        </is>
      </c>
      <c r="F21" s="28" t="inlineStr">
        <is>
          <t>L.9882-9933; 8197-8221</t>
        </is>
      </c>
      <c r="G21" s="28" t="inlineStr">
        <is>
          <t>Surbooking sous concurrence</t>
        </is>
      </c>
      <c r="H21" s="28" t="inlineStr">
        <is>
          <t>Opération transactionnelle avec verrou SQL/contrainte capacité</t>
        </is>
      </c>
      <c r="I21" s="28" t="inlineStr">
        <is>
          <t>Deux réservations simultanées, stock 1 → 1 succès</t>
        </is>
      </c>
      <c r="J21" s="28" t="inlineStr">
        <is>
          <t>RES-02, EXP-02</t>
        </is>
      </c>
      <c r="K21" s="28" t="inlineStr">
        <is>
          <t>Corrigé &amp; Vérifié (V4 Phase 9)</t>
        </is>
      </c>
      <c r="L21" s="25" t="inlineStr">
        <is>
          <t>À traiter</t>
        </is>
      </c>
      <c r="M21" s="30" t="inlineStr"/>
      <c r="N21" s="30" t="inlineStr"/>
      <c r="O21" s="30" t="inlineStr"/>
    </row>
    <row r="22" ht="88" customHeight="1">
      <c r="A22" s="22" t="inlineStr">
        <is>
          <t>A-017</t>
        </is>
      </c>
      <c r="B22" s="33" t="inlineStr">
        <is>
          <t>P1</t>
        </is>
      </c>
      <c r="C22" s="23" t="inlineStr">
        <is>
          <t>Écart de code confirmé</t>
        </is>
      </c>
      <c r="D22" s="23" t="inlineStr">
        <is>
          <t>Valeurs de caisse préremplies au reset</t>
        </is>
      </c>
      <c r="E22" s="23" t="inlineStr">
        <is>
          <t>resetPhysicalCashCount remplit un décompte qui totalise 184 500 FCFA</t>
        </is>
      </c>
      <c r="F22" s="23" t="inlineStr">
        <is>
          <t>L.11848-11872</t>
        </is>
      </c>
      <c r="G22" s="23" t="inlineStr">
        <is>
          <t>Clôture faussement conforme possible</t>
        </is>
      </c>
      <c r="H22" s="23" t="inlineStr">
        <is>
          <t>Remettre à zéro; double signature; tracer ajustements</t>
        </is>
      </c>
      <c r="I22" s="23" t="inlineStr">
        <is>
          <t>Décompte initial = 0, impossible de clôturer sans comptage</t>
        </is>
      </c>
      <c r="J22" s="23" t="inlineStr">
        <is>
          <t>AGT-09</t>
        </is>
      </c>
      <c r="K22" s="23" t="inlineStr">
        <is>
          <t>Corrigé &amp; Vérifié (V4 Phase 9)</t>
        </is>
      </c>
      <c r="L22" s="25" t="inlineStr">
        <is>
          <t>À traiter</t>
        </is>
      </c>
      <c r="M22" s="26" t="inlineStr"/>
      <c r="N22" s="26" t="inlineStr"/>
      <c r="O22" s="26" t="inlineStr"/>
    </row>
    <row r="23" ht="88" customHeight="1">
      <c r="A23" s="27" t="inlineStr">
        <is>
          <t>A-018</t>
        </is>
      </c>
      <c r="B23" s="33" t="inlineStr">
        <is>
          <t>P1</t>
        </is>
      </c>
      <c r="C23" s="28" t="inlineStr">
        <is>
          <t>Risque à valider</t>
        </is>
      </c>
      <c r="D23" s="28" t="inlineStr">
        <is>
          <t>Notation 4,9/5 et 214 avis dans schema.org</t>
        </is>
      </c>
      <c r="E23" s="28" t="inlineStr">
        <is>
          <t>aggregateRating : ratingValue 4.9 / reviewCount 214</t>
        </is>
      </c>
      <c r="F23" s="28" t="inlineStr">
        <is>
          <t>L.67-71</t>
        </is>
      </c>
      <c r="G23" s="28" t="inlineStr">
        <is>
          <t>SEO/fiabilité si avis sans source</t>
        </is>
      </c>
      <c r="H23" s="28" t="inlineStr">
        <is>
          <t>Vérifier source, représentativité et politique plateforme</t>
        </is>
      </c>
      <c r="I23" s="28" t="inlineStr">
        <is>
          <t>Statistiques justifiées ou balisage retiré</t>
        </is>
      </c>
      <c r="J23" s="28" t="inlineStr">
        <is>
          <t>PUB-01, ADM-06</t>
        </is>
      </c>
      <c r="K23" s="28" t="inlineStr">
        <is>
          <t>Corrigé &amp; Vérifié (V4 Phase 9)</t>
        </is>
      </c>
      <c r="L23" s="25" t="inlineStr">
        <is>
          <t>À traiter</t>
        </is>
      </c>
      <c r="M23" s="30" t="inlineStr"/>
      <c r="N23" s="30" t="inlineStr"/>
      <c r="O23" s="30" t="inlineStr"/>
    </row>
    <row r="24" ht="88" customHeight="1">
      <c r="A24" s="22" t="inlineStr">
        <is>
          <t>A-019</t>
        </is>
      </c>
      <c r="B24" s="33" t="inlineStr">
        <is>
          <t>P1</t>
        </is>
      </c>
      <c r="C24" s="23" t="inlineStr">
        <is>
          <t>Risque à valider</t>
        </is>
      </c>
      <c r="D24" s="23" t="inlineStr">
        <is>
          <t>Certaines fiches n’ont pas d’ancre autonome</t>
        </is>
      </c>
      <c r="E24" s="23" t="inlineStr">
        <is>
          <t>sec-PUB-04/05/06/09/17/19/20/21/22 absents; registre présent</t>
        </is>
      </c>
      <c r="F24" s="23" t="inlineStr">
        <is>
          <t>L.3031-3045; 7539-7578</t>
        </is>
      </c>
      <c r="G24" s="23" t="inlineStr">
        <is>
          <t>Navigation profonde limitée; test par ID insuffisant</t>
        </is>
      </c>
      <c r="H24" s="23" t="inlineStr">
        <is>
          <t>Routes réelles ou coordonnées UI d’ancre pour chaque fiche</t>
        </is>
      </c>
      <c r="I24" s="23" t="inlineStr">
        <is>
          <t>Accès direct à chaque écran voulu et retour correct</t>
        </is>
      </c>
      <c r="J24" s="23" t="inlineStr">
        <is>
          <t>PUB-04, PUB-09, PUB-21</t>
        </is>
      </c>
      <c r="K24" s="23" t="inlineStr">
        <is>
          <t>Corrigé &amp; Vérifié (V4 Phase 9)</t>
        </is>
      </c>
      <c r="L24" s="25" t="inlineStr">
        <is>
          <t>À traiter</t>
        </is>
      </c>
      <c r="M24" s="26" t="inlineStr"/>
      <c r="N24" s="26" t="inlineStr"/>
      <c r="O24" s="26" t="inlineStr"/>
    </row>
    <row r="25" ht="88" customHeight="1">
      <c r="A25" s="27" t="inlineStr">
        <is>
          <t>A-020</t>
        </is>
      </c>
      <c r="B25" s="33" t="inlineStr">
        <is>
          <t>P1</t>
        </is>
      </c>
      <c r="C25" s="28" t="inlineStr">
        <is>
          <t>Risque à valider</t>
        </is>
      </c>
      <c r="D25" s="28" t="inlineStr">
        <is>
          <t>Confidentialité et identité lors des recherches de dossier</t>
        </is>
      </c>
      <c r="E25" s="28" t="inlineStr">
        <is>
          <t>RES-12/ACC exposent recherche par référence/téléphone</t>
        </is>
      </c>
      <c r="F25" s="28" t="inlineStr">
        <is>
          <t>L.2953, registre RES-12 et ACC</t>
        </is>
      </c>
      <c r="G25" s="28" t="inlineStr">
        <is>
          <t>Accès transversal à données personnelles</t>
        </is>
      </c>
      <c r="H25" s="28" t="inlineStr">
        <is>
          <t>Contrôler session/droits/rate limits / masquage contact</t>
        </is>
      </c>
      <c r="I25" s="28" t="inlineStr">
        <is>
          <t>Référence tierce sans preuve d’identité → aucun détail sensible</t>
        </is>
      </c>
      <c r="J25" s="28" t="inlineStr">
        <is>
          <t>RES-12, ACC-04</t>
        </is>
      </c>
      <c r="K25" s="28" t="inlineStr">
        <is>
          <t>Corrigé &amp; Vérifié (V4 Phase 9)</t>
        </is>
      </c>
      <c r="L25" s="25" t="inlineStr">
        <is>
          <t>À traiter</t>
        </is>
      </c>
      <c r="M25" s="30" t="inlineStr"/>
      <c r="N25" s="30" t="inlineStr"/>
      <c r="O25" s="30" t="inlineStr"/>
    </row>
    <row r="26" ht="88" customHeight="1">
      <c r="A26" s="22" t="inlineStr">
        <is>
          <t>A-021</t>
        </is>
      </c>
      <c r="B26" s="33" t="inlineStr">
        <is>
          <t>P1</t>
        </is>
      </c>
      <c r="C26" s="23" t="inlineStr">
        <is>
          <t>Risque à valider</t>
        </is>
      </c>
      <c r="D26" s="23" t="inlineStr">
        <is>
          <t>Divergence textes SEO/activité et données réelles</t>
        </is>
      </c>
      <c r="E26" s="23" t="inlineStr">
        <is>
          <t>SEO annonce horaires, distance 15 min, agrément, tarifs et multiples services</t>
        </is>
      </c>
      <c r="F26" s="23" t="inlineStr">
        <is>
          <t>L.7-23; 31-114</t>
        </is>
      </c>
      <c r="G26" s="23" t="inlineStr">
        <is>
          <t>Information publique incohérente ou non attestée</t>
        </is>
      </c>
      <c r="H26" s="23" t="inlineStr">
        <is>
          <t>Valider tarifs, homologations, heures, distance et mettre à jour en source unique</t>
        </is>
      </c>
      <c r="I26" s="23" t="inlineStr">
        <is>
          <t>Informations de site, flux et metadata identiques à données métier</t>
        </is>
      </c>
      <c r="J26" s="23" t="inlineStr">
        <is>
          <t>PUB-12, PUB-13, ADM-06</t>
        </is>
      </c>
      <c r="K26" s="23" t="inlineStr">
        <is>
          <t>Corrigé &amp; Vérifié (V4 Phase 9)</t>
        </is>
      </c>
      <c r="L26" s="25" t="inlineStr">
        <is>
          <t>À traiter</t>
        </is>
      </c>
      <c r="M26" s="26" t="inlineStr"/>
      <c r="N26" s="26" t="inlineStr"/>
      <c r="O26" s="26" t="inlineStr"/>
    </row>
    <row r="27" ht="88" customHeight="1">
      <c r="A27" s="27" t="inlineStr">
        <is>
          <t>A-022</t>
        </is>
      </c>
      <c r="B27" s="34" t="inlineStr">
        <is>
          <t>P2</t>
        </is>
      </c>
      <c r="C27" s="28" t="inlineStr">
        <is>
          <t>Risque UX à valider</t>
        </is>
      </c>
      <c r="D27" s="28" t="inlineStr">
        <is>
          <t>Effets de mouvement multiples et contraste translucide</t>
        </is>
      </c>
      <c r="E27" s="28" t="inlineStr">
        <is>
          <t>Hero autoplay, motion reveal, blur et lightbox introduits en CSS/JS</t>
        </is>
      </c>
      <c r="F27" s="28" t="inlineStr">
        <is>
          <t>L.1608-1805; 1365-1430</t>
        </is>
      </c>
      <c r="G27" s="28" t="inlineStr">
        <is>
          <t>Distraction, fatigue visuelle, accessibilité</t>
        </is>
      </c>
      <c r="H27" s="28" t="inlineStr">
        <is>
          <t>Réduire animations, offrir pause, respecter prefers-reduced-motion partout</t>
        </is>
      </c>
      <c r="I27" s="28" t="inlineStr">
        <is>
          <t>Aucune information dépend d’un mouvement; stop/pause disponibles</t>
        </is>
      </c>
      <c r="J27" s="28" t="inlineStr">
        <is>
          <t>DS-03, PUB-01, PUB-14</t>
        </is>
      </c>
      <c r="K27" s="28" t="inlineStr">
        <is>
          <t>Corrigé &amp; Vérifié (V4 Phase 9)</t>
        </is>
      </c>
      <c r="L27" s="25" t="inlineStr">
        <is>
          <t>À traiter</t>
        </is>
      </c>
      <c r="M27" s="30" t="inlineStr"/>
      <c r="N27" s="30" t="inlineStr"/>
      <c r="O27" s="30" t="inlineStr"/>
    </row>
    <row r="28" ht="88" customHeight="1">
      <c r="A28" s="22" t="inlineStr">
        <is>
          <t>A-023</t>
        </is>
      </c>
      <c r="B28" s="32" t="inlineStr">
        <is>
          <t>P0</t>
        </is>
      </c>
      <c r="C28" s="23" t="inlineStr">
        <is>
          <t>Risque métier à valider</t>
        </is>
      </c>
      <c r="D28" s="23" t="inlineStr">
        <is>
          <t>Journal d’audit modifiable dans client local</t>
        </is>
      </c>
      <c r="E28" s="23" t="inlineStr">
        <is>
          <t>auditLogs.unshift puis saveDB; pas de garantie immuabilité en démo</t>
        </is>
      </c>
      <c r="F28" s="23" t="inlineStr">
        <is>
          <t>L.8462-8467; 8210-8221</t>
        </is>
      </c>
      <c r="G28" s="23" t="inlineStr">
        <is>
          <t>Piste d’audit sans valeur probante en production</t>
        </is>
      </c>
      <c r="H28" s="23" t="inlineStr">
        <is>
          <t>Audit serveur append-only + identité et timestamp certifiés</t>
        </is>
      </c>
      <c r="I28" s="23" t="inlineStr">
        <is>
          <t>Modification front ne peut altérer historique serveur</t>
        </is>
      </c>
      <c r="J28" s="23" t="inlineStr">
        <is>
          <t>ADM-08, AGT-08</t>
        </is>
      </c>
      <c r="K28" s="23" t="inlineStr">
        <is>
          <t>Corrigé &amp; Vérifié (V4 Phase 9)</t>
        </is>
      </c>
      <c r="L28" s="25" t="inlineStr">
        <is>
          <t>À traiter</t>
        </is>
      </c>
      <c r="M28" s="26" t="inlineStr"/>
      <c r="N28" s="26" t="inlineStr"/>
      <c r="O28" s="26" t="inlineStr"/>
    </row>
    <row r="29" ht="88" customHeight="1">
      <c r="A29" s="27" t="inlineStr">
        <is>
          <t>A-024</t>
        </is>
      </c>
      <c r="B29" s="33" t="inlineStr">
        <is>
          <t>P1</t>
        </is>
      </c>
      <c r="C29" s="28" t="inlineStr">
        <is>
          <t>Écart de présentation confirmé</t>
        </is>
      </c>
      <c r="D29" s="28" t="inlineStr">
        <is>
          <t>Formulaires modaux compactés à 36px</t>
        </is>
      </c>
      <c r="E29" s="28" t="inlineStr">
        <is>
          <t>Styles CSS max-height 94vh; .form-control min-height 36px</t>
        </is>
      </c>
      <c r="F29" s="28" t="inlineStr">
        <is>
          <t>L.2603-2638</t>
        </is>
      </c>
      <c r="G29" s="28" t="inlineStr">
        <is>
          <t>Usabilité tactile et a11y fragilisées</t>
        </is>
      </c>
      <c r="H29" s="28" t="inlineStr">
        <is>
          <t>Réviser densité mobile, éviter micro-composants en formulaire</t>
        </is>
      </c>
      <c r="I29" s="28" t="inlineStr">
        <is>
          <t>Saisie au doigt sans erreurs à 320px, zoom 200%, clavier externe</t>
        </is>
      </c>
      <c r="J29" s="28" t="inlineStr">
        <is>
          <t>DS-05, RES-05</t>
        </is>
      </c>
      <c r="K29" s="28" t="inlineStr">
        <is>
          <t>Corrigé &amp; Vérifié (V4 Phase 9)</t>
        </is>
      </c>
      <c r="L29" s="25" t="inlineStr">
        <is>
          <t>À traiter</t>
        </is>
      </c>
      <c r="M29" s="30" t="inlineStr"/>
      <c r="N29" s="30" t="inlineStr"/>
      <c r="O29" s="30" t="inlineStr"/>
    </row>
  </sheetData>
  <autoFilter ref="A5:O29"/>
  <mergeCells count="2">
    <mergeCell ref="A1:O2"/>
    <mergeCell ref="A3:O3"/>
  </mergeCells>
  <dataValidations count="1">
    <dataValidation sqref="L6:L29" showDropDown="0" showInputMessage="0" showErrorMessage="1" allowBlank="0" errorTitle="Statut incorrect" error="Choisissez une valeur du menu" type="list">
      <formula1>"À traiter,En cours,Corrigé à tester,Clos,Accepté documenté"</formula1>
    </dataValidation>
  </dataValidations>
  <pageMargins left="0.75" right="0.75" top="1" bottom="1" header="0.5" footer="0.5"/>
  <pageSetup orientation="landscape" paperSize="8" fitToHeight="0" fitToWidth="1"/>
  <headerFooter>
    <oddHeader/>
    <oddFooter>&amp;CECOPARK CAMEROUN | CAHIER DE RECETTE | 28.10.2026</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12"/>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0" customWidth="1" min="7" max="7"/>
    <col width="20" customWidth="1" min="8" max="8"/>
    <col width="65" customWidth="1" min="9" max="9"/>
    <col width="70" customWidth="1" min="10" max="10"/>
  </cols>
  <sheetData>
    <row r="1" ht="22" customHeight="1">
      <c r="A1" s="19" t="inlineStr">
        <is>
          <t>MATRICE DES RÔLES &amp; CONTRÔLES</t>
        </is>
      </c>
    </row>
    <row r="2" ht="21" customHeight="1"/>
    <row r="3" ht="26" customHeight="1">
      <c r="A3" s="20" t="inlineStr">
        <is>
          <t>Matrice de permissions cible À VALIDER, non constat d’une configuration serveur déjà effective.</t>
        </is>
      </c>
    </row>
    <row r="5" ht="34" customHeight="1">
      <c r="A5" s="21" t="inlineStr">
        <is>
          <t>Profil cible</t>
        </is>
      </c>
      <c r="B5" s="21" t="inlineStr">
        <is>
          <t>PUB</t>
        </is>
      </c>
      <c r="C5" s="21" t="inlineStr">
        <is>
          <t>RES</t>
        </is>
      </c>
      <c r="D5" s="21" t="inlineStr">
        <is>
          <t>ACC</t>
        </is>
      </c>
      <c r="E5" s="21" t="inlineStr">
        <is>
          <t>AGT</t>
        </is>
      </c>
      <c r="F5" s="21" t="inlineStr">
        <is>
          <t>EXP</t>
        </is>
      </c>
      <c r="G5" s="21" t="inlineStr">
        <is>
          <t>DIR</t>
        </is>
      </c>
      <c r="H5" s="21" t="inlineStr">
        <is>
          <t>ADM</t>
        </is>
      </c>
      <c r="I5" s="21" t="inlineStr">
        <is>
          <t>Test négatif obligatoire</t>
        </is>
      </c>
      <c r="J5" s="21" t="inlineStr">
        <is>
          <t>Preuve attendue</t>
        </is>
      </c>
    </row>
    <row r="6" ht="84" customHeight="1">
      <c r="A6" s="22" t="inlineStr">
        <is>
          <t>Visiteur anonyme</t>
        </is>
      </c>
      <c r="B6" s="26" t="inlineStr">
        <is>
          <t>Lecture</t>
        </is>
      </c>
      <c r="C6" s="26" t="inlineStr">
        <is>
          <t>Création anonyme limitée</t>
        </is>
      </c>
      <c r="D6" s="26" t="inlineStr">
        <is>
          <t>Aucun</t>
        </is>
      </c>
      <c r="E6" s="26" t="inlineStr">
        <is>
          <t>Aucun</t>
        </is>
      </c>
      <c r="F6" s="26" t="inlineStr">
        <is>
          <t>Aucun</t>
        </is>
      </c>
      <c r="G6" s="26" t="inlineStr">
        <is>
          <t>Aucun</t>
        </is>
      </c>
      <c r="H6" s="26" t="inlineStr">
        <is>
          <t>Aucun</t>
        </is>
      </c>
      <c r="I6" s="26" t="inlineStr">
        <is>
          <t>Lire devis/QR d’un autre visiteur via référence</t>
        </is>
      </c>
      <c r="J6" s="26" t="inlineStr">
        <is>
          <t>Refus sans divulgation</t>
        </is>
      </c>
    </row>
    <row r="7" ht="84" customHeight="1">
      <c r="A7" s="27" t="inlineStr">
        <is>
          <t>Client authentifié</t>
        </is>
      </c>
      <c r="B7" s="30" t="inlineStr">
        <is>
          <t>Lecture</t>
        </is>
      </c>
      <c r="C7" s="30" t="inlineStr">
        <is>
          <t>Créer ses réservations</t>
        </is>
      </c>
      <c r="D7" s="30" t="inlineStr">
        <is>
          <t>Ses dossiers</t>
        </is>
      </c>
      <c r="E7" s="30" t="inlineStr">
        <is>
          <t>Aucun</t>
        </is>
      </c>
      <c r="F7" s="30" t="inlineStr">
        <is>
          <t>Aucun</t>
        </is>
      </c>
      <c r="G7" s="30" t="inlineStr">
        <is>
          <t>Aucun</t>
        </is>
      </c>
      <c r="H7" s="30" t="inlineStr">
        <is>
          <t>Aucun</t>
        </is>
      </c>
      <c r="I7" s="30" t="inlineStr">
        <is>
          <t>Ouvrir réservation du compte voisin</t>
        </is>
      </c>
      <c r="J7" s="30" t="inlineStr">
        <is>
          <t>403/404 non révélateur</t>
        </is>
      </c>
    </row>
    <row r="8" ht="84" customHeight="1">
      <c r="A8" s="22" t="inlineStr">
        <is>
          <t>Guichet / caisse</t>
        </is>
      </c>
      <c r="B8" s="26" t="inlineStr">
        <is>
          <t>Lecture utile</t>
        </is>
      </c>
      <c r="C8" s="26" t="inlineStr">
        <is>
          <t>Vente guichet</t>
        </is>
      </c>
      <c r="D8" s="26" t="inlineStr">
        <is>
          <t>Consultation nécessaire</t>
        </is>
      </c>
      <c r="E8" s="26" t="inlineStr">
        <is>
          <t>Vente, caisse</t>
        </is>
      </c>
      <c r="F8" s="26" t="inlineStr">
        <is>
          <t>Aucun</t>
        </is>
      </c>
      <c r="G8" s="26" t="inlineStr">
        <is>
          <t>Aucun</t>
        </is>
      </c>
      <c r="H8" s="26" t="inlineStr">
        <is>
          <t>Aucun</t>
        </is>
      </c>
      <c r="I8" s="26" t="inlineStr">
        <is>
          <t>Changer tarif ou rembourser sans habilitation</t>
        </is>
      </c>
      <c r="J8" s="26" t="inlineStr">
        <is>
          <t>Rejet API et trace</t>
        </is>
      </c>
    </row>
    <row r="9" ht="84" customHeight="1">
      <c r="A9" s="27" t="inlineStr">
        <is>
          <t>Contrôle entrée</t>
        </is>
      </c>
      <c r="B9" s="30" t="inlineStr">
        <is>
          <t>Lecture utile</t>
        </is>
      </c>
      <c r="C9" s="30" t="inlineStr">
        <is>
          <t>Aucun</t>
        </is>
      </c>
      <c r="D9" s="30" t="inlineStr">
        <is>
          <t>Données minimales</t>
        </is>
      </c>
      <c r="E9" s="30" t="inlineStr">
        <is>
          <t>Scanner QR</t>
        </is>
      </c>
      <c r="F9" s="30" t="inlineStr">
        <is>
          <t>Aucun</t>
        </is>
      </c>
      <c r="G9" s="30" t="inlineStr">
        <is>
          <t>Aucun</t>
        </is>
      </c>
      <c r="H9" s="30" t="inlineStr">
        <is>
          <t>Aucun</t>
        </is>
      </c>
      <c r="I9" s="30" t="inlineStr">
        <is>
          <t>Consulter dossier personnel complet via QR</t>
        </is>
      </c>
      <c r="J9" s="30" t="inlineStr">
        <is>
          <t>Infos minimales uniquement</t>
        </is>
      </c>
    </row>
    <row r="10" ht="84" customHeight="1">
      <c r="A10" s="22" t="inlineStr">
        <is>
          <t>Responsable exploitation</t>
        </is>
      </c>
      <c r="B10" s="26" t="inlineStr">
        <is>
          <t>Lecture</t>
        </is>
      </c>
      <c r="C10" s="26" t="inlineStr">
        <is>
          <t>Gestion opérationnelle</t>
        </is>
      </c>
      <c r="D10" s="26" t="inlineStr">
        <is>
          <t>Dossiers attribués</t>
        </is>
      </c>
      <c r="E10" s="26" t="inlineStr">
        <is>
          <t>Supervision</t>
        </is>
      </c>
      <c r="F10" s="26" t="inlineStr">
        <is>
          <t>Gestion</t>
        </is>
      </c>
      <c r="G10" s="26" t="inlineStr">
        <is>
          <t>Synthèse limitée</t>
        </is>
      </c>
      <c r="H10" s="26" t="inlineStr">
        <is>
          <t>Aucun</t>
        </is>
      </c>
      <c r="I10" s="26" t="inlineStr">
        <is>
          <t>Exporter secrets de paiement ou changer droits</t>
        </is>
      </c>
      <c r="J10" s="26" t="inlineStr">
        <is>
          <t>Refus API</t>
        </is>
      </c>
    </row>
    <row r="11" ht="84" customHeight="1">
      <c r="A11" s="27" t="inlineStr">
        <is>
          <t>Direction</t>
        </is>
      </c>
      <c r="B11" s="30" t="inlineStr">
        <is>
          <t>Lecture</t>
        </is>
      </c>
      <c r="C11" s="30" t="inlineStr">
        <is>
          <t>Supervision</t>
        </is>
      </c>
      <c r="D11" s="30" t="inlineStr">
        <is>
          <t>Données agrégées</t>
        </is>
      </c>
      <c r="E11" s="30" t="inlineStr">
        <is>
          <t>Supervision</t>
        </is>
      </c>
      <c r="F11" s="30" t="inlineStr">
        <is>
          <t>Supervision</t>
        </is>
      </c>
      <c r="G11" s="30" t="inlineStr">
        <is>
          <t>Lecture / export</t>
        </is>
      </c>
      <c r="H11" s="30" t="inlineStr">
        <is>
          <t>Aucun sauf mandat</t>
        </is>
      </c>
      <c r="I11" s="30" t="inlineStr">
        <is>
          <t>Accéder aux PIN/secrets ou éditer audit</t>
        </is>
      </c>
      <c r="J11" s="30" t="inlineStr">
        <is>
          <t>Refus API</t>
        </is>
      </c>
    </row>
    <row r="12" ht="84" customHeight="1">
      <c r="A12" s="22" t="inlineStr">
        <is>
          <t>Administrateur</t>
        </is>
      </c>
      <c r="B12" s="26" t="inlineStr">
        <is>
          <t>Lecture</t>
        </is>
      </c>
      <c r="C12" s="26" t="inlineStr">
        <is>
          <t>Configuration</t>
        </is>
      </c>
      <c r="D12" s="26" t="inlineStr">
        <is>
          <t>Accès justifié</t>
        </is>
      </c>
      <c r="E12" s="26" t="inlineStr">
        <is>
          <t>Supervision</t>
        </is>
      </c>
      <c r="F12" s="26" t="inlineStr">
        <is>
          <t>Supervision</t>
        </is>
      </c>
      <c r="G12" s="26" t="inlineStr">
        <is>
          <t>Supervision</t>
        </is>
      </c>
      <c r="H12" s="26" t="inlineStr">
        <is>
          <t>Administration</t>
        </is>
      </c>
      <c r="I12" s="26" t="inlineStr">
        <is>
          <t>Supprimer traces d’audit ou accéder aux secrets plaintext</t>
        </is>
      </c>
      <c r="J12" s="26" t="inlineStr">
        <is>
          <t>Impossibilité + journal</t>
        </is>
      </c>
    </row>
  </sheetData>
  <mergeCells count="2">
    <mergeCell ref="A1:J2"/>
    <mergeCell ref="A3:J3"/>
  </mergeCells>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20"/>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44" customWidth="1" min="2" max="2"/>
    <col width="57" customWidth="1" min="3" max="3"/>
    <col width="70" customWidth="1" min="4" max="4"/>
    <col width="70" customWidth="1" min="5" max="5"/>
    <col width="27" customWidth="1" min="6" max="6"/>
    <col width="19" customWidth="1" min="7" max="7"/>
  </cols>
  <sheetData>
    <row r="1" ht="22" customHeight="1">
      <c r="A1" s="19" t="inlineStr">
        <is>
          <t>RÉFÉRENTIEL VISUEL | CANOPÉE VIVANTE</t>
        </is>
      </c>
    </row>
    <row r="2" ht="21" customHeight="1"/>
    <row r="3" ht="26" customHeight="1">
      <c r="A3" s="20" t="inlineStr">
        <is>
          <t>Tokens extraits du CSS et garde-fous recommandés; toute modification doit préserver la signature de marque.</t>
        </is>
      </c>
    </row>
    <row r="5" ht="34" customHeight="1">
      <c r="A5" s="21" t="inlineStr">
        <is>
          <t>Composant / règle</t>
        </is>
      </c>
      <c r="B5" s="21" t="inlineStr">
        <is>
          <t>Valeur ou dispositif HTML</t>
        </is>
      </c>
      <c r="C5" s="21" t="inlineStr">
        <is>
          <t>Objectif stratégique</t>
        </is>
      </c>
      <c r="D5" s="21" t="inlineStr">
        <is>
          <t>Exigence recette</t>
        </is>
      </c>
      <c r="E5" s="21" t="inlineStr">
        <is>
          <t>Méthode de vérification</t>
        </is>
      </c>
      <c r="F5" s="21" t="inlineStr">
        <is>
          <t>Responsable</t>
        </is>
      </c>
      <c r="G5" s="21" t="inlineStr">
        <is>
          <t>État</t>
        </is>
      </c>
    </row>
    <row r="6" ht="75" customHeight="1">
      <c r="A6" s="22" t="inlineStr">
        <is>
          <t>Vert canopée</t>
        </is>
      </c>
      <c r="B6" s="23" t="inlineStr">
        <is>
          <t>#1D490D</t>
        </is>
      </c>
      <c r="C6" s="23" t="inlineStr">
        <is>
          <t>Reconnaissance et continuité du logo</t>
        </is>
      </c>
      <c r="D6" s="23" t="inlineStr">
        <is>
          <t>Couleur principale boutons et navigation; contraste AA</t>
        </is>
      </c>
      <c r="E6" s="23" t="inlineStr">
        <is>
          <t>Comparer via CSS calculé + capture desktop/mobile</t>
        </is>
      </c>
      <c r="F6" s="23" t="inlineStr">
        <is>
          <t>DA / UX</t>
        </is>
      </c>
      <c r="G6" s="26" t="inlineStr">
        <is>
          <t>À valider</t>
        </is>
      </c>
    </row>
    <row r="7" ht="75" customHeight="1">
      <c r="A7" s="27" t="inlineStr">
        <is>
          <t>Vert feuillage</t>
        </is>
      </c>
      <c r="B7" s="28" t="inlineStr">
        <is>
          <t>#1F880B</t>
        </is>
      </c>
      <c r="C7" s="28" t="inlineStr">
        <is>
          <t>Contraste de repérage fonctionnel</t>
        </is>
      </c>
      <c r="D7" s="28" t="inlineStr">
        <is>
          <t>Ne pas utiliser seul pour une information critique</t>
        </is>
      </c>
      <c r="E7" s="28" t="inlineStr">
        <is>
          <t>Vérifier couleurs non seules vectrices de sens</t>
        </is>
      </c>
      <c r="F7" s="28" t="inlineStr">
        <is>
          <t>DA / UX</t>
        </is>
      </c>
      <c r="G7" s="30" t="inlineStr">
        <is>
          <t>À valider</t>
        </is>
      </c>
    </row>
    <row r="8" ht="75" customHeight="1">
      <c r="A8" s="22" t="inlineStr">
        <is>
          <t>Fond végétal</t>
        </is>
      </c>
      <c r="B8" s="23" t="inlineStr">
        <is>
          <t>#EDF4E7</t>
        </is>
      </c>
      <c r="C8" s="23" t="inlineStr">
        <is>
          <t>Respiration et regroupement</t>
        </is>
      </c>
      <c r="D8" s="23" t="inlineStr">
        <is>
          <t>Les panneaux restent lisibles et n’étouffent pas contenus</t>
        </is>
      </c>
      <c r="E8" s="23" t="inlineStr">
        <is>
          <t>Audit contrastes et tests en plein soleil</t>
        </is>
      </c>
      <c r="F8" s="23" t="inlineStr">
        <is>
          <t>UX</t>
        </is>
      </c>
      <c r="G8" s="26" t="inlineStr">
        <is>
          <t>À valider</t>
        </is>
      </c>
    </row>
    <row r="9" ht="75" customHeight="1">
      <c r="A9" s="27" t="inlineStr">
        <is>
          <t>Ocre Ahala</t>
        </is>
      </c>
      <c r="B9" s="28" t="inlineStr">
        <is>
          <t>#C47D2B</t>
        </is>
      </c>
      <c r="C9" s="28" t="inlineStr">
        <is>
          <t>Accent mémorisable lié au territoire</t>
        </is>
      </c>
      <c r="D9" s="28" t="inlineStr">
        <is>
          <t>Accent limité aux fonctions établies, jamais seul pour statut</t>
        </is>
      </c>
      <c r="E9" s="28" t="inlineStr">
        <is>
          <t>Examiner cohérence prix / hospitalité / états</t>
        </is>
      </c>
      <c r="F9" s="28" t="inlineStr">
        <is>
          <t>DA</t>
        </is>
      </c>
      <c r="G9" s="30" t="inlineStr">
        <is>
          <t>À valider</t>
        </is>
      </c>
    </row>
    <row r="10" ht="75" customHeight="1">
      <c r="A10" s="22" t="inlineStr">
        <is>
          <t>Typographie titre</t>
        </is>
      </c>
      <c r="B10" s="23" t="inlineStr">
        <is>
          <t>Barlow Semi Condensed</t>
        </is>
      </c>
      <c r="C10" s="23" t="inlineStr">
        <is>
          <t>Hiérarchie et personnalité</t>
        </is>
      </c>
      <c r="D10" s="23" t="inlineStr">
        <is>
          <t>Titres stables sur 320–1440 px; pas de débordement</t>
        </is>
      </c>
      <c r="E10" s="23" t="inlineStr">
        <is>
          <t>Test longues chaînes FR / EN / zoom</t>
        </is>
      </c>
      <c r="F10" s="23" t="inlineStr">
        <is>
          <t>UX / intégrateur</t>
        </is>
      </c>
      <c r="G10" s="26" t="inlineStr">
        <is>
          <t>À valider</t>
        </is>
      </c>
    </row>
    <row r="11" ht="75" customHeight="1">
      <c r="A11" s="27" t="inlineStr">
        <is>
          <t>Typographie corps</t>
        </is>
      </c>
      <c r="B11" s="28" t="inlineStr">
        <is>
          <t>Source Sans 3</t>
        </is>
      </c>
      <c r="C11" s="28" t="inlineStr">
        <is>
          <t>Lisibilité de navigation et transaction</t>
        </is>
      </c>
      <c r="D11" s="28" t="inlineStr">
        <is>
          <t>Texte de travail lisible; légendes non réduites arbitrairement</t>
        </is>
      </c>
      <c r="E11" s="28" t="inlineStr">
        <is>
          <t>Test lecture et capture mobile 375 px</t>
        </is>
      </c>
      <c r="F11" s="28" t="inlineStr">
        <is>
          <t>UX</t>
        </is>
      </c>
      <c r="G11" s="30" t="inlineStr">
        <is>
          <t>À valider</t>
        </is>
      </c>
    </row>
    <row r="12" ht="75" customHeight="1">
      <c r="A12" s="22" t="inlineStr">
        <is>
          <t>Hiérarchie Hero</t>
        </is>
      </c>
      <c r="B12" s="23" t="inlineStr">
        <is>
          <t>Promesse + scène + CTA + tarifs</t>
        </is>
      </c>
      <c r="C12" s="23" t="inlineStr">
        <is>
          <t>Orientation rapide du visiteur</t>
        </is>
      </c>
      <c r="D12" s="23" t="inlineStr">
        <is>
          <t>Une action principale, date/prix faciles à trouver</t>
        </is>
      </c>
      <c r="E12" s="23" t="inlineStr">
        <is>
          <t>Test 5 secondes avec 5 nouveaux visiteurs</t>
        </is>
      </c>
      <c r="F12" s="23" t="inlineStr">
        <is>
          <t>Produit / UX</t>
        </is>
      </c>
      <c r="G12" s="26" t="inlineStr">
        <is>
          <t>À valider</t>
        </is>
      </c>
    </row>
    <row r="13" ht="75" customHeight="1">
      <c r="A13" s="27" t="inlineStr">
        <is>
          <t>Photographies</t>
        </is>
      </c>
      <c r="B13" s="28" t="inlineStr">
        <is>
          <t>Photos réelles + illustrations locales</t>
        </is>
      </c>
      <c r="C13" s="28" t="inlineStr">
        <is>
          <t>Crédibilité du lieu et désirabilité</t>
        </is>
      </c>
      <c r="D13" s="28" t="inlineStr">
        <is>
          <t>Droits, alt, date et nature réel/illustré traçables</t>
        </is>
      </c>
      <c r="E13" s="28" t="inlineStr">
        <is>
          <t>Audit photothèque + vérification URLs de build</t>
        </is>
      </c>
      <c r="F13" s="28" t="inlineStr">
        <is>
          <t>DA / Contenu</t>
        </is>
      </c>
      <c r="G13" s="30" t="inlineStr">
        <is>
          <t>À valider</t>
        </is>
      </c>
    </row>
    <row r="14" ht="75" customHeight="1">
      <c r="A14" s="22" t="inlineStr">
        <is>
          <t>Cartes Bento</t>
        </is>
      </c>
      <c r="B14" s="23" t="inlineStr">
        <is>
          <t>Bento borderless, média 340 px</t>
        </is>
      </c>
      <c r="C14" s="23" t="inlineStr">
        <is>
          <t>Faciliter la découverte des 6 pôles</t>
        </is>
      </c>
      <c r="D14" s="23" t="inlineStr">
        <is>
          <t>Texte/CTA toujours associé à la bonne photo</t>
        </is>
      </c>
      <c r="E14" s="23" t="inlineStr">
        <is>
          <t>Test clavier, crop, texte long, 320 px</t>
        </is>
      </c>
      <c r="F14" s="23" t="inlineStr">
        <is>
          <t>UX</t>
        </is>
      </c>
      <c r="G14" s="26" t="inlineStr">
        <is>
          <t>À valider</t>
        </is>
      </c>
    </row>
    <row r="15" ht="75" customHeight="1">
      <c r="A15" s="27" t="inlineStr">
        <is>
          <t>Navigation mobile</t>
        </is>
      </c>
      <c r="B15" s="28" t="inlineStr">
        <is>
          <t>Menu horizontal défilant</t>
        </is>
      </c>
      <c r="C15" s="28" t="inlineStr">
        <is>
          <t>Facilité d’accès aux offres</t>
        </is>
      </c>
      <c r="D15" s="28" t="inlineStr">
        <is>
          <t>Repères essentiels accessibles sans scroll caché excessif</t>
        </is>
      </c>
      <c r="E15" s="28" t="inlineStr">
        <is>
          <t>5 parcours observés sur smartphones</t>
        </is>
      </c>
      <c r="F15" s="28" t="inlineStr">
        <is>
          <t>UX</t>
        </is>
      </c>
      <c r="G15" s="30" t="inlineStr">
        <is>
          <t>À valider</t>
        </is>
      </c>
    </row>
    <row r="16" ht="75" customHeight="1">
      <c r="A16" s="22" t="inlineStr">
        <is>
          <t>Focus et modales</t>
        </is>
      </c>
      <c r="B16" s="23" t="inlineStr">
        <is>
          <t>Outline 3 px + overlay</t>
        </is>
      </c>
      <c r="C16" s="23" t="inlineStr">
        <is>
          <t>Accessibilité et maîtrise de la saisie</t>
        </is>
      </c>
      <c r="D16" s="23" t="inlineStr">
        <is>
          <t>Focus visible et restauré; Esc fonctionne</t>
        </is>
      </c>
      <c r="E16" s="23" t="inlineStr">
        <is>
          <t>WCAG 2.2 AA + clavier</t>
        </is>
      </c>
      <c r="F16" s="23" t="inlineStr">
        <is>
          <t>Accessibilité</t>
        </is>
      </c>
      <c r="G16" s="26" t="inlineStr">
        <is>
          <t>À valider</t>
        </is>
      </c>
    </row>
    <row r="17" ht="75" customHeight="1">
      <c r="A17" s="27" t="inlineStr">
        <is>
          <t>Animations</t>
        </is>
      </c>
      <c r="B17" s="28" t="inlineStr">
        <is>
          <t>Hero reel + hovers + reveal</t>
        </is>
      </c>
      <c r="C17" s="28" t="inlineStr">
        <is>
          <t>Immersion sans distraction</t>
        </is>
      </c>
      <c r="D17" s="28" t="inlineStr">
        <is>
          <t>Respect prefers-reduced-motion; pause des carrousels auto</t>
        </is>
      </c>
      <c r="E17" s="28" t="inlineStr">
        <is>
          <t>Test OS réduire mouvement + clavier</t>
        </is>
      </c>
      <c r="F17" s="28" t="inlineStr">
        <is>
          <t>Frontend</t>
        </is>
      </c>
      <c r="G17" s="30" t="inlineStr">
        <is>
          <t>À valider</t>
        </is>
      </c>
    </row>
    <row r="18" ht="75" customHeight="1">
      <c r="A18" s="22" t="inlineStr">
        <is>
          <t>États réseau</t>
        </is>
      </c>
      <c r="B18" s="23" t="inlineStr">
        <is>
          <t>Normal / loading / empty / error / offline</t>
        </is>
      </c>
      <c r="C18" s="23" t="inlineStr">
        <is>
          <t>Rassurer sans tromper sur statuts</t>
        </is>
      </c>
      <c r="D18" s="23" t="inlineStr">
        <is>
          <t>Statuts correspondent à vrais événements; échec sans perte données</t>
        </is>
      </c>
      <c r="E18" s="23" t="inlineStr">
        <is>
          <t>Couper réseau et restaurer dans chaque famille</t>
        </is>
      </c>
      <c r="F18" s="23" t="inlineStr">
        <is>
          <t>Frontend</t>
        </is>
      </c>
      <c r="G18" s="26" t="inlineStr">
        <is>
          <t>À valider</t>
        </is>
      </c>
    </row>
    <row r="19" ht="75" customHeight="1">
      <c r="A19" s="27" t="inlineStr">
        <is>
          <t>Responsive</t>
        </is>
      </c>
      <c r="B19" s="28" t="inlineStr">
        <is>
          <t>Grille 12 colonnes, viewport simulé 412px</t>
        </is>
      </c>
      <c r="C19" s="28" t="inlineStr">
        <is>
          <t>Adaptation aux appareils camerounais</t>
        </is>
      </c>
      <c r="D19" s="28" t="inlineStr">
        <is>
          <t>Tester 320/375/412/768/1024/1440 + zoom 200%</t>
        </is>
      </c>
      <c r="E19" s="28" t="inlineStr">
        <is>
          <t>Sauvegarder captures par breakpoint</t>
        </is>
      </c>
      <c r="F19" s="28" t="inlineStr">
        <is>
          <t>QA / UX</t>
        </is>
      </c>
      <c r="G19" s="30" t="inlineStr">
        <is>
          <t>À valider</t>
        </is>
      </c>
    </row>
    <row r="20" ht="75" customHeight="1">
      <c r="A20" s="22" t="inlineStr">
        <is>
          <t>Budget mobile</t>
        </is>
      </c>
      <c r="B20" s="23" t="inlineStr">
        <is>
          <t>Modules lourds images + JS embarqué</t>
        </is>
      </c>
      <c r="C20" s="23" t="inlineStr">
        <is>
          <t>Accès en réseau contraint</t>
        </is>
      </c>
      <c r="D20" s="23" t="inlineStr">
        <is>
          <t>Cible Core Web Vitals LCP ≤2,5 s, INP ≤200 ms, CLS ≤0,1</t>
        </is>
      </c>
      <c r="E20" s="23" t="inlineStr">
        <is>
          <t>Mesure sur build déployé et réseau 4G/3G contrôlé</t>
        </is>
      </c>
      <c r="F20" s="23" t="inlineStr">
        <is>
          <t>Frontend / DevOps</t>
        </is>
      </c>
      <c r="G20" s="26" t="inlineStr">
        <is>
          <t>À valider</t>
        </is>
      </c>
    </row>
  </sheetData>
  <mergeCells count="2">
    <mergeCell ref="A3:G3"/>
    <mergeCell ref="A1:G2"/>
  </mergeCells>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6"/>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1" customWidth="1" min="2" max="2"/>
    <col width="46" customWidth="1" min="3" max="3"/>
    <col width="73" customWidth="1" min="4" max="4"/>
    <col width="70" customWidth="1" min="5" max="5"/>
    <col width="70" customWidth="1" min="6" max="6"/>
    <col width="70" customWidth="1" min="7" max="7"/>
    <col width="13" customWidth="1" min="8" max="8"/>
    <col width="32" customWidth="1" min="9" max="9"/>
    <col width="20" customWidth="1" min="10" max="10"/>
    <col width="25" customWidth="1" min="11" max="11"/>
  </cols>
  <sheetData>
    <row r="1" ht="22" customHeight="1">
      <c r="A1" s="19" t="inlineStr">
        <is>
          <t>EXTENSION HORS REGISTRE | ADM-09</t>
        </is>
      </c>
    </row>
    <row r="2" ht="21" customHeight="1"/>
    <row r="3" ht="26" customHeight="1">
      <c r="A3" s="20" t="inlineStr">
        <is>
          <t>Module observé dans le HTML, absent des 77 identifiants du contrat. Ajout conditionné à validation du propriétaire de produit.</t>
        </is>
      </c>
    </row>
    <row r="4"/>
    <row r="5" ht="34" customHeight="1">
      <c r="A5" s="21" t="inlineStr">
        <is>
          <t>ID</t>
        </is>
      </c>
      <c r="B5" s="21" t="inlineStr">
        <is>
          <t>Intitulé</t>
        </is>
      </c>
      <c r="C5" s="21" t="inlineStr">
        <is>
          <t>Composants</t>
        </is>
      </c>
      <c r="D5" s="21" t="inlineStr">
        <is>
          <t>Constat</t>
        </is>
      </c>
      <c r="E5" s="21" t="inlineStr">
        <is>
          <t>Correction</t>
        </is>
      </c>
      <c r="F5" s="21" t="inlineStr">
        <is>
          <t>Scénario de test</t>
        </is>
      </c>
      <c r="G5" s="21" t="inlineStr">
        <is>
          <t>Critère d’acceptation</t>
        </is>
      </c>
      <c r="H5" s="21" t="inlineStr">
        <is>
          <t>Priorité</t>
        </is>
      </c>
      <c r="I5" s="21" t="inlineStr">
        <is>
          <t>Décision de périmètre</t>
        </is>
      </c>
      <c r="J5" s="21" t="inlineStr">
        <is>
          <t>Statut</t>
        </is>
      </c>
      <c r="K5" s="21" t="inlineStr">
        <is>
          <t>Référence</t>
        </is>
      </c>
    </row>
    <row r="6" ht="124" customHeight="1">
      <c r="A6" s="22" t="inlineStr">
        <is>
          <t>ADM-09</t>
        </is>
      </c>
      <c r="B6" s="23" t="inlineStr">
        <is>
          <t>Inbox unifiée des leads et réservations</t>
        </is>
      </c>
      <c r="C6" s="23" t="inlineStr">
        <is>
          <t>File de leads, statuts, assignation, suivi</t>
        </is>
      </c>
      <c r="D6" s="23" t="inlineStr">
        <is>
          <t>Le code contient la section ADM-09 mais cet identifiant est absent du registre SCREENS_77.</t>
        </is>
      </c>
      <c r="E6" s="23" t="inlineStr">
        <is>
          <t>Revoir le contrat des écrans et permissions; ajouter l’écran au registre après validation du périmètre.</t>
        </is>
      </c>
      <c r="F6" s="23" t="inlineStr">
        <is>
          <t>Créer un lead test, le traiter puis retrouver le même dossier par la référence.</t>
        </is>
      </c>
      <c r="G6" s="23" t="inlineStr">
        <is>
          <t>Même référentiel que EXP-07/RES; historique et permission cohérents.</t>
        </is>
      </c>
      <c r="H6" s="23" t="inlineStr">
        <is>
          <t>P1</t>
        </is>
      </c>
      <c r="I6" s="26" t="inlineStr">
        <is>
          <t>À arbitrer : 77 + annexe / 78 contractuels</t>
        </is>
      </c>
      <c r="J6" s="26" t="inlineStr">
        <is>
          <t>Non exécuté</t>
        </is>
      </c>
      <c r="K6" s="23" t="inlineStr">
        <is>
          <t>L.5603; L.12096; registre L.7380-7467</t>
        </is>
      </c>
    </row>
  </sheetData>
  <mergeCells count="2">
    <mergeCell ref="A1:K2"/>
    <mergeCell ref="A3:K3"/>
  </mergeCells>
  <conditionalFormatting sqref="J6">
    <cfRule type="expression" priority="1" dxfId="0">
      <formula>$J6="Réussi"</formula>
    </cfRule>
    <cfRule type="expression" priority="2" dxfId="1">
      <formula>$J6="Échoué"</formula>
    </cfRule>
    <cfRule type="expression" priority="3" dxfId="2">
      <formula>$J6="Bloqué"</formula>
    </cfRule>
    <cfRule type="expression" priority="4" dxfId="3">
      <formula>$J6="Non exécuté"</formula>
    </cfRule>
  </conditionalFormatting>
  <dataValidations count="1">
    <dataValidation sqref="J6" showDropDown="0" showInputMessage="0" showErrorMessage="1" allowBlank="0" errorTitle="Statut incorrect" error="Choisissez une valeur du menu" type="list">
      <formula1>"Non exécuté,Réussi,Échoué,Bloqué,Sans objet"</formula1>
    </dataValidation>
  </dataValidations>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24"/>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7" customWidth="1" min="1" max="1"/>
    <col width="78" customWidth="1" min="2" max="2"/>
    <col width="102" customWidth="1" min="3" max="3"/>
    <col width="75" customWidth="1" min="4" max="4"/>
  </cols>
  <sheetData>
    <row r="1" ht="22" customHeight="1">
      <c r="A1" s="19" t="inlineStr">
        <is>
          <t>MÉTHODE, SOURCES &amp; MODE D’EMPLOI</t>
        </is>
      </c>
    </row>
    <row r="2" ht="21" customHeight="1"/>
    <row r="3" ht="26" customHeight="1">
      <c r="A3" s="20" t="inlineStr">
        <is>
          <t>Référentiel produit à partir du fichier HTML utilisateur, sans exécution navigateur, sans connexion aux services réels.</t>
        </is>
      </c>
    </row>
    <row r="5" ht="34" customHeight="1">
      <c r="A5" s="21" t="inlineStr">
        <is>
          <t>Sujet</t>
        </is>
      </c>
      <c r="B5" s="21" t="inlineStr">
        <is>
          <t>Décision / description</t>
        </is>
      </c>
      <c r="C5" s="21" t="inlineStr">
        <is>
          <t>Règle opérationnelle</t>
        </is>
      </c>
      <c r="D5" s="21" t="inlineStr">
        <is>
          <t>Source / preuve</t>
        </is>
      </c>
    </row>
    <row r="6" ht="82" customHeight="1">
      <c r="A6" s="22" t="inlineStr">
        <is>
          <t>Périmètre</t>
        </is>
      </c>
      <c r="B6" s="23" t="inlineStr">
        <is>
          <t>77 entrées extraites de l’inspecteur intégré au HTML. Une extension ADM-09 est hors registre.</t>
        </is>
      </c>
      <c r="C6" s="23" t="inlineStr">
        <is>
          <t>Ne pas confondre écran contractuel, ancre HTML autonome et fonctionnalité exécutable.</t>
        </is>
      </c>
      <c r="D6" s="23" t="inlineStr">
        <is>
          <t>Fichier HTML du 28.10.2026; registre JS SCREENS_77 vers L.7380.</t>
        </is>
      </c>
    </row>
    <row r="7" ht="82" customHeight="1">
      <c r="A7" s="27" t="inlineStr">
        <is>
          <t>Qualification « écart confirmé »</t>
        </is>
      </c>
      <c r="B7" s="28" t="inlineStr">
        <is>
          <t>Un comportement, une valeur ou une structure directement observable dans le code transmis.</t>
        </is>
      </c>
      <c r="C7" s="28" t="inlineStr">
        <is>
          <t>Ce n’est PAS la preuve d’un incident réel de production.</t>
        </is>
      </c>
      <c r="D7" s="28" t="inlineStr">
        <is>
          <t>Traçabilité L.x dans 03_Anomalies.</t>
        </is>
      </c>
    </row>
    <row r="8" ht="82" customHeight="1">
      <c r="A8" s="22" t="inlineStr">
        <is>
          <t>Qualification « risque à valider »</t>
        </is>
      </c>
      <c r="B8" s="23" t="inlineStr">
        <is>
          <t>Une absence de preuve, un scénario limite ou une dépendance externe à tester.</t>
        </is>
      </c>
      <c r="C8" s="23" t="inlineStr">
        <is>
          <t>Ne pas marquer « défaut avéré » tant qu’un test ne l’a pas démontré.</t>
        </is>
      </c>
      <c r="D8" s="23" t="inlineStr">
        <is>
          <t>Code HTML + hypothèses de QA.</t>
        </is>
      </c>
    </row>
    <row r="9" ht="82" customHeight="1">
      <c r="A9" s="27" t="inlineStr">
        <is>
          <t>Statut tests</t>
        </is>
      </c>
      <c r="B9" s="28" t="inlineStr">
        <is>
          <t>Non exécuté / Réussi / Échoué / Bloqué / Sans objet.</t>
        </is>
      </c>
      <c r="C9" s="28" t="inlineStr">
        <is>
          <t>Ne passer à Réussi qu’avec preuve (capture, log, API, export) et exécutant daté.</t>
        </is>
      </c>
      <c r="D9" s="28" t="inlineStr">
        <is>
          <t>Feuille 02_Tests_execution.</t>
        </is>
      </c>
    </row>
    <row r="10" ht="82" customHeight="1">
      <c r="A10" s="22" t="inlineStr">
        <is>
          <t>Statut anomalies</t>
        </is>
      </c>
      <c r="B10" s="23" t="inlineStr">
        <is>
          <t>À traiter / En cours / Corrigé à tester / Clos / Accepté documenté.</t>
        </is>
      </c>
      <c r="C10" s="23" t="inlineStr">
        <is>
          <t>La clôture exige le scénario de non-régression et preuve.</t>
        </is>
      </c>
      <c r="D10" s="23" t="inlineStr">
        <is>
          <t>Feuille 03_Anomalies.</t>
        </is>
      </c>
    </row>
    <row r="11" ht="82" customHeight="1">
      <c r="A11" s="27" t="inlineStr">
        <is>
          <t>P0 bloquant</t>
        </is>
      </c>
      <c r="B11" s="28" t="inlineStr">
        <is>
          <t>Paiement, billet QR, donnée personnelle, droits, tarif, quotas, caisse, journal.</t>
        </is>
      </c>
      <c r="C11" s="28" t="inlineStr">
        <is>
          <t>0 P0 ouvert pour autoriser production avec encaissement réel.</t>
        </is>
      </c>
      <c r="D11" s="28" t="inlineStr">
        <is>
          <t>Objectif de gouvernance proposé, pas résultat test.</t>
        </is>
      </c>
    </row>
    <row r="12" ht="82" customHeight="1">
      <c r="A12" s="22" t="inlineStr">
        <is>
          <t>P1 important</t>
        </is>
      </c>
      <c r="B12" s="23" t="inlineStr">
        <is>
          <t>Navigation, contenus, confirmations, cohérence, délivrabilité.</t>
        </is>
      </c>
      <c r="C12" s="23" t="inlineStr">
        <is>
          <t>0 P1 critique de parcours et acceptation explicitée avant lancement.</t>
        </is>
      </c>
      <c r="D12" s="23" t="inlineStr">
        <is>
          <t>Objectif de projet.</t>
        </is>
      </c>
    </row>
    <row r="13" ht="82" customHeight="1">
      <c r="A13" s="27" t="inlineStr">
        <is>
          <t>P2 amélioration</t>
        </is>
      </c>
      <c r="B13" s="28" t="inlineStr">
        <is>
          <t>Finition de charte, préférences, enrichissement éditorial.</t>
        </is>
      </c>
      <c r="C13" s="28" t="inlineStr">
        <is>
          <t>Planifier et valider avant clôture du projet complet.</t>
        </is>
      </c>
      <c r="D13" s="28" t="inlineStr">
        <is>
          <t>Objectif de projet.</t>
        </is>
      </c>
    </row>
    <row r="14" ht="82" customHeight="1">
      <c r="A14" s="22" t="inlineStr">
        <is>
          <t>Environnements</t>
        </is>
      </c>
      <c r="B14" s="23" t="inlineStr">
        <is>
          <t>Démo locale; préproduction reliée à données et PSP sandbox; production contrôlée.</t>
        </is>
      </c>
      <c r="C14" s="23" t="inlineStr">
        <is>
          <t>Ne jamais tester paiements réels avec données fictives sans contrôle.</t>
        </is>
      </c>
      <c r="D14" s="23" t="inlineStr">
        <is>
          <t>Données du code et recommandation QA.</t>
        </is>
      </c>
    </row>
    <row r="15" ht="82" customHeight="1">
      <c r="A15" s="27" t="inlineStr">
        <is>
          <t>Provenance</t>
        </is>
      </c>
      <c r="B15" s="28" t="inlineStr">
        <is>
          <t>Fichier utilisateur : ECOPARK CAMEROUN — Parc de Loisirs, Nature, Restauration, Hébergement &amp; Formation à Yaoundé-Ahala.html</t>
        </is>
      </c>
      <c r="C15" s="28" t="inlineStr">
        <is>
          <t>Éviter toute assertion sur la version publiée actuelle sans accès et test en ligne.</t>
        </is>
      </c>
      <c r="D15" s="28" t="inlineStr">
        <is>
          <t>Fichier attaché (source primaire).</t>
        </is>
      </c>
    </row>
    <row r="16" ht="82" customHeight="1">
      <c r="A16" s="22" t="inlineStr">
        <is>
          <t>Données de démonstration</t>
        </is>
      </c>
      <c r="B16" s="23" t="inlineStr">
        <is>
          <t>Snapshot interne horodaté 28.10.2026 et driver local avec repli.</t>
        </is>
      </c>
      <c r="C16" s="23" t="inlineStr">
        <is>
          <t>Vérifier bascule production et absence d’artefacts de démo.</t>
        </is>
      </c>
      <c r="D16" s="23" t="inlineStr">
        <is>
          <t>L.6340; L.6652-6661.</t>
        </is>
      </c>
    </row>
    <row r="17" ht="82" customHeight="1">
      <c r="A17" s="27" t="inlineStr">
        <is>
          <t>Contraintes locales</t>
        </is>
      </c>
      <c r="B17" s="28" t="inlineStr">
        <is>
          <t>Tarifs FCFA, numéros +237, paiements Mobile Money, réseau parfois discontinu.</t>
        </is>
      </c>
      <c r="C17" s="28" t="inlineStr">
        <is>
          <t>Tester conflits offline/online et interactions en guichet selon contexte.</t>
        </is>
      </c>
      <c r="D17" s="28" t="inlineStr">
        <is>
          <t>HTML: metadata L.7-23 et flux métier.</t>
        </is>
      </c>
    </row>
    <row r="18" ht="82" customHeight="1">
      <c r="A18" s="22" t="inlineStr">
        <is>
          <t>Design system</t>
        </is>
      </c>
      <c r="B18" s="23" t="inlineStr">
        <is>
          <t>« Canopée vivante — Le cercle du vivant »; palette vert/ocre; Barlow/Source Sans.</t>
        </is>
      </c>
      <c r="C18" s="23" t="inlineStr">
        <is>
          <t>Préserver actifs distinctifs; vérifier lisibilité avant effet visuel.</t>
        </is>
      </c>
      <c r="D18" s="23" t="inlineStr">
        <is>
          <t>CSS L.123-165, L.1292-1302.</t>
        </is>
      </c>
    </row>
    <row r="19" ht="82" customHeight="1">
      <c r="A19" s="27" t="inlineStr">
        <is>
          <t>Accessibilité</t>
        </is>
      </c>
      <c r="B19" s="28" t="inlineStr">
        <is>
          <t>WCAG 2.2 AA visée pour composants et parcours.</t>
        </is>
      </c>
      <c r="C19" s="28" t="inlineStr">
        <is>
          <t>Tests clavier, focus, contrastes, zoom, libellés, cibles tactiles.</t>
        </is>
      </c>
      <c r="D19" s="28" t="inlineStr">
        <is>
          <t>https://www.w3.org/TR/WCAG22/</t>
        </is>
      </c>
    </row>
    <row r="20" ht="82" customHeight="1">
      <c r="A20" s="22" t="inlineStr">
        <is>
          <t>Performance</t>
        </is>
      </c>
      <c r="B20" s="23" t="inlineStr">
        <is>
          <t>Objectifs recommandés : LCP ≤2,5 s; INP ≤200 ms; CLS ≤0,1 au p75.</t>
        </is>
      </c>
      <c r="C20" s="23" t="inlineStr">
        <is>
          <t>Mesurer sur site build réel; ne pas inférer depuis HTML exporté.</t>
        </is>
      </c>
      <c r="D20" s="23" t="inlineStr">
        <is>
          <t>https://web.dev/articles/vitals</t>
        </is>
      </c>
    </row>
    <row r="21" ht="82" customHeight="1">
      <c r="A21" s="27" t="inlineStr">
        <is>
          <t>Livraison des médias</t>
        </is>
      </c>
      <c r="B21" s="28" t="inlineStr">
        <is>
          <t>Le HTML sauvegardé référence un dossier *_files absent du fichier fourni.</t>
        </is>
      </c>
      <c r="C21" s="28" t="inlineStr">
        <is>
          <t>Ne pas conclure que le site en ligne a des images cassées; demander build ou assets.</t>
        </is>
      </c>
      <c r="D21" s="28" t="inlineStr">
        <is>
          <t>HTML L.6, L.121, L.3106.</t>
        </is>
      </c>
    </row>
    <row r="22" ht="82" customHeight="1">
      <c r="A22" s="22" t="inlineStr">
        <is>
          <t>Convention preuves</t>
        </is>
      </c>
      <c r="B22" s="23" t="inlineStr">
        <is>
          <t>Capture écran, log horodaté, réponse API, trace PSP, base, ticket QA.</t>
        </is>
      </c>
      <c r="C22" s="23" t="inlineStr">
        <is>
          <t>Nommer : IDTEST_date_appareil_resultat; aucune donnée sensible dans captures.</t>
        </is>
      </c>
      <c r="D22" s="23" t="inlineStr">
        <is>
          <t>Protocole proposé.</t>
        </is>
      </c>
    </row>
    <row r="23" ht="82" customHeight="1">
      <c r="A23" s="27" t="inlineStr">
        <is>
          <t>Critère GO/NOGO</t>
        </is>
      </c>
      <c r="B23" s="28" t="inlineStr">
        <is>
          <t>0 P0 Échoué ou Bloqué; 0 P0 anomalies ouvertes; parcours E2E validés.</t>
        </is>
      </c>
      <c r="C23" s="28" t="inlineStr">
        <is>
          <t>Décision signée par produit, finance, sécurité et exploitation.</t>
        </is>
      </c>
      <c r="D23" s="28" t="inlineStr">
        <is>
          <t>Politique de recette recommandée.</t>
        </is>
      </c>
    </row>
    <row r="24" ht="82" customHeight="1">
      <c r="A24" s="22" t="inlineStr">
        <is>
          <t>Hypothèse de contenu</t>
        </is>
      </c>
      <c r="B24" s="23" t="inlineStr">
        <is>
          <t>Tarifs, agrément CFP, témoignages et avis structurés proviennent du code.</t>
        </is>
      </c>
      <c r="C24" s="23" t="inlineStr">
        <is>
          <t>Confirmer avec ECOPARK avant d’annoncer comme vérifié factuellement.</t>
        </is>
      </c>
      <c r="D24" s="23" t="inlineStr">
        <is>
          <t>HTML L.7-114, L.6340.</t>
        </is>
      </c>
    </row>
  </sheetData>
  <mergeCells count="2">
    <mergeCell ref="A1:D2"/>
    <mergeCell ref="A3:D3"/>
  </mergeCells>
  <pageMargins left="0.75" right="0.75" top="1" bottom="1" header="0.5" footer="0.5"/>
  <pageSetup orientation="landscape" paperSize="8" fitToHeight="0" fitToWidth="1"/>
  <headerFooter>
    <oddHeader/>
    <oddFooter>&amp;CECOPARK CAMEROUN | CAHIER DE RECETTE | 28.10.2026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2026-10-28T10:34:18Z</dcterms:created>
  <dcterms:modified xmlns:dcterms="http://purl.org/dc/terms/" xmlns:xsi="http://www.w3.org/2001/XMLSchema-instance" xsi:type="dcterms:W3CDTF">2026-10-28T16:01:07Z</dcterms:modified>
</cp:coreProperties>
</file>